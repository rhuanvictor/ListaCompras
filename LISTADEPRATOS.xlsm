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huan\Desktop\"/>
    </mc:Choice>
  </mc:AlternateContent>
  <xr:revisionPtr revIDLastSave="0" documentId="13_ncr:1_{3A7671F9-476C-44B0-8DC2-2121A4A68BAD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Planilha1" sheetId="1" r:id="rId1"/>
  </sheets>
  <functionGroups builtInGroupCount="19"/>
  <definedNames>
    <definedName name="_xlnm.Print_Area" localSheetId="0">Planilha1!$J$1:$L$1,Planilha1!$J$3:$L$24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1" l="1"/>
  <c r="F4" i="1"/>
  <c r="F5" i="1"/>
  <c r="F6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33" i="1"/>
  <c r="F134" i="1"/>
  <c r="F135" i="1"/>
  <c r="F136" i="1"/>
  <c r="F137" i="1"/>
  <c r="F138" i="1"/>
  <c r="F120" i="1"/>
  <c r="F121" i="1"/>
  <c r="F122" i="1"/>
  <c r="F123" i="1"/>
  <c r="F124" i="1"/>
  <c r="F125" i="1"/>
  <c r="F126" i="1"/>
  <c r="F127" i="1"/>
  <c r="F128" i="1"/>
  <c r="F129" i="1"/>
  <c r="F116" i="1"/>
  <c r="F115" i="1"/>
  <c r="F114" i="1"/>
  <c r="F113" i="1"/>
  <c r="F112" i="1"/>
  <c r="F100" i="1"/>
  <c r="F101" i="1"/>
  <c r="F102" i="1"/>
  <c r="F103" i="1"/>
  <c r="F104" i="1"/>
  <c r="F105" i="1"/>
  <c r="F106" i="1"/>
  <c r="F107" i="1"/>
  <c r="F108" i="1"/>
  <c r="F90" i="1"/>
  <c r="F91" i="1"/>
  <c r="F92" i="1"/>
  <c r="F93" i="1"/>
  <c r="F94" i="1"/>
  <c r="F95" i="1"/>
  <c r="F96" i="1"/>
  <c r="F79" i="1"/>
  <c r="F80" i="1"/>
  <c r="F81" i="1"/>
  <c r="F82" i="1"/>
  <c r="F83" i="1"/>
  <c r="F84" i="1"/>
  <c r="F85" i="1"/>
  <c r="F86" i="1"/>
  <c r="F75" i="1"/>
  <c r="F74" i="1"/>
  <c r="F73" i="1"/>
  <c r="F72" i="1"/>
  <c r="F71" i="1"/>
  <c r="F70" i="1"/>
  <c r="F57" i="1"/>
  <c r="F58" i="1"/>
  <c r="F59" i="1"/>
  <c r="F60" i="1"/>
  <c r="F61" i="1"/>
  <c r="F62" i="1"/>
  <c r="F63" i="1"/>
  <c r="F64" i="1"/>
  <c r="F65" i="1"/>
  <c r="F66" i="1"/>
  <c r="F53" i="1"/>
  <c r="F52" i="1"/>
  <c r="F51" i="1"/>
  <c r="F50" i="1"/>
  <c r="F49" i="1"/>
  <c r="F48" i="1"/>
  <c r="F47" i="1"/>
  <c r="F46" i="1"/>
  <c r="F42" i="1"/>
  <c r="F35" i="1"/>
  <c r="F36" i="1"/>
  <c r="F37" i="1"/>
  <c r="F38" i="1"/>
  <c r="F39" i="1"/>
  <c r="F40" i="1"/>
  <c r="F41" i="1"/>
  <c r="F30" i="1"/>
  <c r="F31" i="1"/>
  <c r="F29" i="1"/>
  <c r="F28" i="1"/>
  <c r="F27" i="1"/>
  <c r="F26" i="1"/>
  <c r="F25" i="1"/>
  <c r="F20" i="1"/>
  <c r="F15" i="1"/>
  <c r="F21" i="1"/>
  <c r="F19" i="1"/>
  <c r="F18" i="1"/>
  <c r="F17" i="1"/>
  <c r="F16" i="1"/>
  <c r="F10" i="1"/>
  <c r="F9" i="1"/>
  <c r="F7" i="1"/>
  <c r="F8" i="1"/>
  <c r="F11" i="1"/>
</calcChain>
</file>

<file path=xl/sharedStrings.xml><?xml version="1.0" encoding="utf-8"?>
<sst xmlns="http://schemas.openxmlformats.org/spreadsheetml/2006/main" count="457" uniqueCount="120">
  <si>
    <t>LATA DE MILHO GRANDE</t>
  </si>
  <si>
    <t>INGREDIENTE</t>
  </si>
  <si>
    <t>QUANTIDADE</t>
  </si>
  <si>
    <t>PESO/LITROS</t>
  </si>
  <si>
    <t>LEITE</t>
  </si>
  <si>
    <t>MARGARINA</t>
  </si>
  <si>
    <t>AMIDO DE MILHO</t>
  </si>
  <si>
    <t>CAIXA DE CALDO GALINHA KNORR</t>
  </si>
  <si>
    <t>UNIDADE (kg/g/LITROS/ml )</t>
  </si>
  <si>
    <t>kg</t>
  </si>
  <si>
    <t>L</t>
  </si>
  <si>
    <t>ml</t>
  </si>
  <si>
    <t>g</t>
  </si>
  <si>
    <t>CREME DE MILHO</t>
  </si>
  <si>
    <t>FAROFA</t>
  </si>
  <si>
    <t>FARINHA DE MANDIOCA AMAFIL BIJU</t>
  </si>
  <si>
    <t>LINGUIÇA CALABRESA</t>
  </si>
  <si>
    <t>BACON</t>
  </si>
  <si>
    <t>AZEITONA</t>
  </si>
  <si>
    <t>CENOURA</t>
  </si>
  <si>
    <t>RONDELI</t>
  </si>
  <si>
    <t>PRESUNTO FATIADO</t>
  </si>
  <si>
    <t>MUSSARELA FATIADA</t>
  </si>
  <si>
    <t>MASSA DE PASTEL</t>
  </si>
  <si>
    <t>RICOTA</t>
  </si>
  <si>
    <t>UNIDADE</t>
  </si>
  <si>
    <t>EXTRATO DE TOMATE (ELEFANTE)</t>
  </si>
  <si>
    <t>SALADA RUSSA</t>
  </si>
  <si>
    <t>REPOLHO</t>
  </si>
  <si>
    <t>REPOLHO MEDIO</t>
  </si>
  <si>
    <t>MAIONESE</t>
  </si>
  <si>
    <t>ABACAXI</t>
  </si>
  <si>
    <t>MAÇA</t>
  </si>
  <si>
    <t>UVAS PASSAS</t>
  </si>
  <si>
    <t>SALADA VERDE</t>
  </si>
  <si>
    <t>ALFACE</t>
  </si>
  <si>
    <t>TOMATE</t>
  </si>
  <si>
    <t>RUCULA</t>
  </si>
  <si>
    <t>ACELGA</t>
  </si>
  <si>
    <t>MANGA</t>
  </si>
  <si>
    <t>SALADA COZIDA</t>
  </si>
  <si>
    <t>BETERRABA</t>
  </si>
  <si>
    <t>BATATINHA</t>
  </si>
  <si>
    <t>VAGEM</t>
  </si>
  <si>
    <t>BROCOLIS</t>
  </si>
  <si>
    <t>COUVE FLOR</t>
  </si>
  <si>
    <t>MAÇO DE CHEIRO VERDE</t>
  </si>
  <si>
    <t>CEBOLA</t>
  </si>
  <si>
    <t>ARROZ BRANCO</t>
  </si>
  <si>
    <t>A4:D11</t>
  </si>
  <si>
    <t>A15:D21</t>
  </si>
  <si>
    <t>A25:D31</t>
  </si>
  <si>
    <t>A35:D42</t>
  </si>
  <si>
    <t>A46:D53</t>
  </si>
  <si>
    <t>A57:D66</t>
  </si>
  <si>
    <t>PESSOAS</t>
  </si>
  <si>
    <t>colocar a linha, para ignonar quando fazer os pratos</t>
  </si>
  <si>
    <t>ÓLEO</t>
  </si>
  <si>
    <t>SAL</t>
  </si>
  <si>
    <t>ALHO</t>
  </si>
  <si>
    <t>A70:D75</t>
  </si>
  <si>
    <t>ARROZ TEMPERADO</t>
  </si>
  <si>
    <t>ARROZ</t>
  </si>
  <si>
    <t>FRANGO</t>
  </si>
  <si>
    <t>COXA SOBRECOXA</t>
  </si>
  <si>
    <t>TEMPERO COMPLETO ZAELI</t>
  </si>
  <si>
    <t>VINAGRE</t>
  </si>
  <si>
    <t>COLORAL</t>
  </si>
  <si>
    <t>A79:D86</t>
  </si>
  <si>
    <t>A90:D96</t>
  </si>
  <si>
    <t>COSTELA RECHEADA DE BOI</t>
  </si>
  <si>
    <t>COSTELA DE BOI</t>
  </si>
  <si>
    <t>PAPEL SELOFONE 7,5m</t>
  </si>
  <si>
    <t>PAPEL ALUMINIO</t>
  </si>
  <si>
    <t>BOLO</t>
  </si>
  <si>
    <t>PRATINHOS</t>
  </si>
  <si>
    <t>GARFINHOS</t>
  </si>
  <si>
    <t>A100:D108</t>
  </si>
  <si>
    <t>A112:D116</t>
  </si>
  <si>
    <t>FRIOS</t>
  </si>
  <si>
    <t>PEITO DE FRANGO</t>
  </si>
  <si>
    <t>SALAME FATIADO</t>
  </si>
  <si>
    <t>PEÇA DE PRESUNTO</t>
  </si>
  <si>
    <t>PEÇA DE MUSSARELA</t>
  </si>
  <si>
    <t>BALDE DE AZEITONA</t>
  </si>
  <si>
    <t>TORRADA</t>
  </si>
  <si>
    <t>A120:D129</t>
  </si>
  <si>
    <t>BEBIDAS</t>
  </si>
  <si>
    <t>CERVEJA</t>
  </si>
  <si>
    <t>REFRIGERANTE</t>
  </si>
  <si>
    <t>PRODUTOS DE LIMPEZA</t>
  </si>
  <si>
    <t xml:space="preserve">DETERGENTE </t>
  </si>
  <si>
    <t>BUCHA LAVA LOUÇA</t>
  </si>
  <si>
    <t>BRILHO ALUMINIO</t>
  </si>
  <si>
    <t>CAIXA DE FOSFORO</t>
  </si>
  <si>
    <t>PAPEL HIGIENICO</t>
  </si>
  <si>
    <t>PALITO DE DENTE</t>
  </si>
  <si>
    <t>PAPEL TOALHA</t>
  </si>
  <si>
    <t>A133:D138</t>
  </si>
  <si>
    <t>A142:D158</t>
  </si>
  <si>
    <t>ITENS</t>
  </si>
  <si>
    <t>PORCO</t>
  </si>
  <si>
    <t>13,14,23,24,33,34,44,45,55,56,68,69,77,78,88,89,98,99,110,111,118,119,131,132,140,141,160,161</t>
  </si>
  <si>
    <t>A162:D185</t>
  </si>
  <si>
    <t>ALCOOL EM GEL</t>
  </si>
  <si>
    <t xml:space="preserve">ALCOOL </t>
  </si>
  <si>
    <t>AGUA MINERAL 500 ml</t>
  </si>
  <si>
    <t>CREME DE LEITE 200g</t>
  </si>
  <si>
    <t>PACOTE</t>
  </si>
  <si>
    <t>SACO DE LIXO 200L COM 10 SACOS</t>
  </si>
  <si>
    <t>SACO DE LIXO 30L COM 10 SACOS</t>
  </si>
  <si>
    <t>CREME DE LEITE 200 g</t>
  </si>
  <si>
    <t>PREÇO TOTAL</t>
  </si>
  <si>
    <t>PREÇO UNITARIO</t>
  </si>
  <si>
    <t>VERDADEIRO</t>
  </si>
  <si>
    <t>TOTAL</t>
  </si>
  <si>
    <t>LATA DE MILHO GRANDE 3,1 KG</t>
  </si>
  <si>
    <t>DETERGENTE</t>
  </si>
  <si>
    <t>LISTA PARA</t>
  </si>
  <si>
    <t>CREME DE MILHO, FAROFA, RONDELI, SALADA RUSSA, SALADA VERDE, SALADA COZIDA, ARROZ BRANCO, ARROZ TEMPERADO, FRANGO, COSTELA DE BOI, BOLO, PORCO, BEBIDAS, PRODUTOS DE LIMPEZA, FRIOS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</si>
</sst>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 &quot;#,##0.00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Arial"/>
      <family val="2"/>
    </font>
    <font>
      <sz val="11"/>
      <color theme="0"/>
      <name val="Calibri"/>
      <family val="2"/>
      <scheme val="minor"/>
    </font>
    <font>
      <b/>
      <sz val="14"/>
      <color theme="7" tint="0.79998168889431442"/>
      <name val="Arial"/>
      <family val="2"/>
    </font>
    <font>
      <b/>
      <sz val="14"/>
      <color theme="0"/>
      <name val="Arial"/>
      <family val="2"/>
    </font>
    <font>
      <b/>
      <sz val="14"/>
      <color theme="1"/>
      <name val="Georgia"/>
      <family val="1"/>
    </font>
    <font>
      <b/>
      <sz val="11"/>
      <color rgb="FF000000"/>
      <name val="Georgia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 tint="-4.9989318521683403E-2"/>
      <name val="Arial"/>
      <family val="2"/>
    </font>
    <font>
      <b/>
      <sz val="14"/>
      <color rgb="FF602A3C"/>
      <name val="Arial"/>
      <family val="2"/>
    </font>
    <font>
      <b/>
      <sz val="11"/>
      <color theme="0"/>
      <name val="Arial"/>
      <family val="2"/>
    </font>
    <font>
      <sz val="11"/>
      <color rgb="FF000000"/>
      <name val="Calibri"/>
      <family val="2"/>
    </font>
    <font>
      <sz val="8"/>
      <color rgb="FF404040"/>
      <name val="Calibri"/>
      <family val="2"/>
      <scheme val="minor"/>
    </font>
    <font>
      <b/>
      <sz val="14"/>
      <color rgb="FF404040"/>
      <name val="Georgia"/>
      <family val="1"/>
    </font>
    <font>
      <sz val="8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7F1D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1FFFF"/>
        <bgColor indexed="64"/>
      </patternFill>
    </fill>
    <fill>
      <patternFill patternType="solid">
        <fgColor rgb="FF0A0AC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theme="2" tint="-0.89999084444715716"/>
        <bgColor indexed="64"/>
      </patternFill>
    </fill>
  </fills>
  <borders count="7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0" fillId="3" borderId="0" xfId="0" applyFill="1"/>
    <xf numFmtId="0" fontId="3" fillId="3" borderId="0" xfId="0" applyFont="1" applyFill="1" applyAlignment="1">
      <alignment vertical="center"/>
    </xf>
    <xf numFmtId="0" fontId="0" fillId="4" borderId="0" xfId="0" applyFill="1"/>
    <xf numFmtId="0" fontId="3" fillId="4" borderId="0" xfId="0" applyFont="1" applyFill="1" applyAlignment="1">
      <alignment horizontal="left" vertical="center" indent="5"/>
    </xf>
    <xf numFmtId="0" fontId="0" fillId="5" borderId="0" xfId="0" applyFill="1"/>
    <xf numFmtId="0" fontId="3" fillId="5" borderId="0" xfId="0" applyFont="1" applyFill="1" applyAlignment="1">
      <alignment horizontal="left" vertical="center" indent="5"/>
    </xf>
    <xf numFmtId="0" fontId="0" fillId="6" borderId="0" xfId="0" applyFill="1"/>
    <xf numFmtId="0" fontId="3" fillId="6" borderId="0" xfId="0" applyFont="1" applyFill="1" applyAlignment="1">
      <alignment horizontal="left" indent="2"/>
    </xf>
    <xf numFmtId="0" fontId="0" fillId="0" borderId="0" xfId="0" applyFont="1" applyBorder="1"/>
    <xf numFmtId="0" fontId="0" fillId="7" borderId="0" xfId="0" applyFill="1"/>
    <xf numFmtId="0" fontId="5" fillId="7" borderId="0" xfId="0" applyFont="1" applyFill="1" applyAlignment="1">
      <alignment horizontal="left" indent="1"/>
    </xf>
    <xf numFmtId="0" fontId="0" fillId="8" borderId="0" xfId="0" applyFill="1"/>
    <xf numFmtId="0" fontId="6" fillId="8" borderId="0" xfId="0" applyFont="1" applyFill="1"/>
    <xf numFmtId="0" fontId="4" fillId="8" borderId="0" xfId="0" applyFont="1" applyFill="1"/>
    <xf numFmtId="0" fontId="0" fillId="9" borderId="0" xfId="0" applyFill="1"/>
    <xf numFmtId="0" fontId="3" fillId="9" borderId="0" xfId="0" applyFont="1" applyFill="1"/>
    <xf numFmtId="20" fontId="0" fillId="0" borderId="0" xfId="0" applyNumberFormat="1"/>
    <xf numFmtId="0" fontId="0" fillId="0" borderId="0" xfId="0" applyAlignment="1"/>
    <xf numFmtId="0" fontId="0" fillId="0" borderId="0" xfId="0" applyProtection="1"/>
    <xf numFmtId="0" fontId="0" fillId="0" borderId="0" xfId="0" applyProtection="1">
      <protection locked="0"/>
    </xf>
    <xf numFmtId="0" fontId="7" fillId="10" borderId="0" xfId="0" applyFont="1" applyFill="1" applyBorder="1" applyAlignment="1" applyProtection="1">
      <alignment horizontal="center" vertical="center"/>
      <protection locked="0"/>
    </xf>
    <xf numFmtId="0" fontId="0" fillId="11" borderId="0" xfId="0" applyFill="1"/>
    <xf numFmtId="0" fontId="11" fillId="11" borderId="0" xfId="0" applyFont="1" applyFill="1"/>
    <xf numFmtId="0" fontId="0" fillId="13" borderId="0" xfId="0" applyFill="1"/>
    <xf numFmtId="0" fontId="11" fillId="13" borderId="0" xfId="0" applyFont="1" applyFill="1" applyAlignment="1">
      <alignment horizontal="left" indent="5"/>
    </xf>
    <xf numFmtId="0" fontId="0" fillId="12" borderId="1" xfId="0" applyFill="1" applyBorder="1" applyAlignment="1" applyProtection="1">
      <alignment horizontal="center"/>
    </xf>
    <xf numFmtId="0" fontId="0" fillId="12" borderId="2" xfId="0" applyFill="1" applyBorder="1" applyAlignment="1" applyProtection="1">
      <alignment horizontal="center"/>
    </xf>
    <xf numFmtId="0" fontId="9" fillId="14" borderId="0" xfId="0" applyFont="1" applyFill="1"/>
    <xf numFmtId="0" fontId="12" fillId="14" borderId="0" xfId="0" applyFont="1" applyFill="1" applyAlignment="1">
      <alignment horizontal="left" indent="8"/>
    </xf>
    <xf numFmtId="0" fontId="9" fillId="15" borderId="0" xfId="0" applyFont="1" applyFill="1"/>
    <xf numFmtId="0" fontId="6" fillId="15" borderId="0" xfId="0" applyFont="1" applyFill="1" applyAlignment="1">
      <alignment horizontal="left" indent="8"/>
    </xf>
    <xf numFmtId="0" fontId="9" fillId="16" borderId="0" xfId="0" applyFont="1" applyFill="1"/>
    <xf numFmtId="0" fontId="6" fillId="16" borderId="0" xfId="0" applyFont="1" applyFill="1" applyAlignment="1">
      <alignment horizontal="left" indent="8"/>
    </xf>
    <xf numFmtId="0" fontId="0" fillId="12" borderId="3" xfId="0" applyFill="1" applyBorder="1" applyAlignment="1" applyProtection="1"/>
    <xf numFmtId="0" fontId="9" fillId="17" borderId="0" xfId="0" applyFont="1" applyFill="1"/>
    <xf numFmtId="0" fontId="6" fillId="17" borderId="0" xfId="0" applyFont="1" applyFill="1" applyAlignment="1">
      <alignment horizontal="left"/>
    </xf>
    <xf numFmtId="0" fontId="2" fillId="2" borderId="4" xfId="0" applyFont="1" applyFill="1" applyBorder="1" applyAlignment="1" applyProtection="1">
      <alignment horizontal="center"/>
      <protection locked="0"/>
    </xf>
    <xf numFmtId="0" fontId="9" fillId="18" borderId="0" xfId="0" applyFont="1" applyFill="1"/>
    <xf numFmtId="0" fontId="6" fillId="18" borderId="0" xfId="0" applyFont="1" applyFill="1" applyAlignment="1">
      <alignment horizontal="left" indent="8"/>
    </xf>
    <xf numFmtId="0" fontId="0" fillId="19" borderId="6" xfId="0" applyFont="1" applyFill="1" applyBorder="1"/>
    <xf numFmtId="0" fontId="0" fillId="0" borderId="6" xfId="0" applyFont="1" applyBorder="1"/>
    <xf numFmtId="2" fontId="0" fillId="0" borderId="0" xfId="0" applyNumberFormat="1"/>
    <xf numFmtId="0" fontId="2" fillId="2" borderId="5" xfId="0" applyFont="1" applyFill="1" applyBorder="1"/>
    <xf numFmtId="0" fontId="2" fillId="2" borderId="6" xfId="0" applyFont="1" applyFill="1" applyBorder="1"/>
    <xf numFmtId="2" fontId="0" fillId="19" borderId="5" xfId="0" applyNumberFormat="1" applyFont="1" applyFill="1" applyBorder="1"/>
    <xf numFmtId="2" fontId="0" fillId="0" borderId="5" xfId="0" applyNumberFormat="1" applyFont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11" fillId="22" borderId="0" xfId="0" applyFont="1" applyFill="1" applyAlignment="1">
      <alignment horizontal="left"/>
    </xf>
    <xf numFmtId="0" fontId="0" fillId="14" borderId="0" xfId="0" applyFill="1"/>
    <xf numFmtId="0" fontId="0" fillId="18" borderId="0" xfId="0" applyFill="1"/>
    <xf numFmtId="0" fontId="0" fillId="16" borderId="0" xfId="0" applyFill="1"/>
    <xf numFmtId="0" fontId="0" fillId="17" borderId="0" xfId="0" applyFill="1"/>
    <xf numFmtId="0" fontId="0" fillId="15" borderId="0" xfId="0" applyFill="1"/>
    <xf numFmtId="0" fontId="0" fillId="0" borderId="0" xfId="0" applyAlignment="1">
      <alignment horizontal="right"/>
    </xf>
    <xf numFmtId="0" fontId="2" fillId="2" borderId="0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10" borderId="0" xfId="0" applyFill="1"/>
    <xf numFmtId="0" fontId="13" fillId="23" borderId="0" xfId="0" applyFont="1" applyFill="1" applyAlignment="1">
      <alignment horizontal="right"/>
    </xf>
    <xf numFmtId="0" fontId="0" fillId="12" borderId="2" xfId="0" applyFill="1" applyBorder="1" applyAlignment="1" applyProtection="1">
      <alignment horizontal="center"/>
    </xf>
    <xf numFmtId="0" fontId="16" fillId="10" borderId="0" xfId="0" applyFont="1" applyFill="1" applyBorder="1" applyAlignment="1" applyProtection="1">
      <alignment horizontal="center" vertical="center"/>
      <protection locked="0"/>
    </xf>
    <xf numFmtId="0" fontId="15" fillId="10" borderId="0" xfId="0" applyFont="1" applyFill="1" applyBorder="1" applyAlignment="1" applyProtection="1">
      <alignment horizontal="left" wrapText="1" shrinkToFit="1" readingOrder="1"/>
      <protection locked="0"/>
    </xf>
    <xf numFmtId="0" fontId="17" fillId="0" borderId="0" xfId="0" applyFont="1"/>
  </cellXfs>
  <cellStyles count="1"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0" formatCode="General"/>
    </dxf>
    <dxf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D7F1D7"/>
      <color rgb="FF757575"/>
      <color rgb="FF6D6D6D"/>
      <color rgb="FF686868"/>
      <color rgb="FF5F5F5F"/>
      <color rgb="FF777777"/>
      <color rgb="FF0000CC"/>
      <color rgb="FF0000FF"/>
      <color rgb="FF0033CC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6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12" Type="http://schemas.openxmlformats.org/officeDocument/2006/relationships/image" Target="../media/image15.emf"/><Relationship Id="rId17" Type="http://schemas.openxmlformats.org/officeDocument/2006/relationships/image" Target="../media/image17.emf"/><Relationship Id="rId2" Type="http://schemas.openxmlformats.org/officeDocument/2006/relationships/image" Target="../media/image10.emf"/><Relationship Id="rId16" Type="http://schemas.openxmlformats.org/officeDocument/2006/relationships/image" Target="../media/image1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4.emf"/><Relationship Id="rId5" Type="http://schemas.openxmlformats.org/officeDocument/2006/relationships/image" Target="../media/image7.emf"/><Relationship Id="rId15" Type="http://schemas.openxmlformats.org/officeDocument/2006/relationships/image" Target="../media/image2.emf"/><Relationship Id="rId10" Type="http://schemas.openxmlformats.org/officeDocument/2006/relationships/image" Target="../media/image13.emf"/><Relationship Id="rId4" Type="http://schemas.openxmlformats.org/officeDocument/2006/relationships/image" Target="../media/image8.emf"/><Relationship Id="rId9" Type="http://schemas.openxmlformats.org/officeDocument/2006/relationships/image" Target="../media/image12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44450</xdr:rowOff>
        </xdr:from>
        <xdr:to>
          <xdr:col>0</xdr:col>
          <xdr:colOff>1739900</xdr:colOff>
          <xdr:row>0</xdr:row>
          <xdr:rowOff>298450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488950</xdr:rowOff>
        </xdr:from>
        <xdr:to>
          <xdr:col>0</xdr:col>
          <xdr:colOff>1860550</xdr:colOff>
          <xdr:row>0</xdr:row>
          <xdr:rowOff>730250</xdr:rowOff>
        </xdr:to>
        <xdr:sp macro="" textlink="">
          <xdr:nvSpPr>
            <xdr:cNvPr id="1026" name="Check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958850</xdr:rowOff>
        </xdr:from>
        <xdr:to>
          <xdr:col>0</xdr:col>
          <xdr:colOff>1638300</xdr:colOff>
          <xdr:row>0</xdr:row>
          <xdr:rowOff>1187450</xdr:rowOff>
        </xdr:to>
        <xdr:sp macro="" textlink="">
          <xdr:nvSpPr>
            <xdr:cNvPr id="1027" name="CheckBox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1397000</xdr:rowOff>
        </xdr:from>
        <xdr:to>
          <xdr:col>0</xdr:col>
          <xdr:colOff>1612900</xdr:colOff>
          <xdr:row>0</xdr:row>
          <xdr:rowOff>1644650</xdr:rowOff>
        </xdr:to>
        <xdr:sp macro="" textlink="">
          <xdr:nvSpPr>
            <xdr:cNvPr id="1028" name="CheckBox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1892300</xdr:rowOff>
        </xdr:from>
        <xdr:to>
          <xdr:col>0</xdr:col>
          <xdr:colOff>1924050</xdr:colOff>
          <xdr:row>0</xdr:row>
          <xdr:rowOff>2101850</xdr:rowOff>
        </xdr:to>
        <xdr:sp macro="" textlink="">
          <xdr:nvSpPr>
            <xdr:cNvPr id="1029" name="CheckBox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2273300</xdr:rowOff>
        </xdr:from>
        <xdr:to>
          <xdr:col>0</xdr:col>
          <xdr:colOff>2114550</xdr:colOff>
          <xdr:row>0</xdr:row>
          <xdr:rowOff>2616200</xdr:rowOff>
        </xdr:to>
        <xdr:sp macro="" textlink="">
          <xdr:nvSpPr>
            <xdr:cNvPr id="1030" name="CheckBox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0</xdr:row>
          <xdr:rowOff>596900</xdr:rowOff>
        </xdr:from>
        <xdr:to>
          <xdr:col>1</xdr:col>
          <xdr:colOff>1060450</xdr:colOff>
          <xdr:row>0</xdr:row>
          <xdr:rowOff>1130300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LISTA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0</xdr:row>
          <xdr:rowOff>1250950</xdr:rowOff>
        </xdr:from>
        <xdr:to>
          <xdr:col>1</xdr:col>
          <xdr:colOff>1066800</xdr:colOff>
          <xdr:row>0</xdr:row>
          <xdr:rowOff>1524000</xdr:rowOff>
        </xdr:to>
        <xdr:sp macro="" textlink="">
          <xdr:nvSpPr>
            <xdr:cNvPr id="1043" name="txtPesquis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0</xdr:row>
          <xdr:rowOff>1739900</xdr:rowOff>
        </xdr:from>
        <xdr:to>
          <xdr:col>1</xdr:col>
          <xdr:colOff>1028700</xdr:colOff>
          <xdr:row>0</xdr:row>
          <xdr:rowOff>2095500</xdr:rowOff>
        </xdr:to>
        <xdr:sp macro="" textlink="">
          <xdr:nvSpPr>
            <xdr:cNvPr id="1044" name="btnBuscar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1212850</xdr:rowOff>
        </xdr:from>
        <xdr:to>
          <xdr:col>9</xdr:col>
          <xdr:colOff>6350</xdr:colOff>
          <xdr:row>0</xdr:row>
          <xdr:rowOff>1758950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Georgia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215900</xdr:colOff>
          <xdr:row>0</xdr:row>
          <xdr:rowOff>63500</xdr:rowOff>
        </xdr:from>
        <xdr:to>
          <xdr:col>3</xdr:col>
          <xdr:colOff>628650</xdr:colOff>
          <xdr:row>0</xdr:row>
          <xdr:rowOff>285750</xdr:rowOff>
        </xdr:to>
        <xdr:sp macro="" textlink="">
          <xdr:nvSpPr>
            <xdr:cNvPr id="1046" name="CheckBox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215900</xdr:colOff>
          <xdr:row>0</xdr:row>
          <xdr:rowOff>425450</xdr:rowOff>
        </xdr:from>
        <xdr:to>
          <xdr:col>3</xdr:col>
          <xdr:colOff>920750</xdr:colOff>
          <xdr:row>0</xdr:row>
          <xdr:rowOff>787400</xdr:rowOff>
        </xdr:to>
        <xdr:sp macro="" textlink="">
          <xdr:nvSpPr>
            <xdr:cNvPr id="1047" name="CheckBox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215900</xdr:colOff>
          <xdr:row>0</xdr:row>
          <xdr:rowOff>889000</xdr:rowOff>
        </xdr:from>
        <xdr:to>
          <xdr:col>3</xdr:col>
          <xdr:colOff>819150</xdr:colOff>
          <xdr:row>0</xdr:row>
          <xdr:rowOff>1250950</xdr:rowOff>
        </xdr:to>
        <xdr:sp macro="" textlink="">
          <xdr:nvSpPr>
            <xdr:cNvPr id="1048" name="CheckBox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215900</xdr:colOff>
          <xdr:row>0</xdr:row>
          <xdr:rowOff>1320800</xdr:rowOff>
        </xdr:from>
        <xdr:to>
          <xdr:col>3</xdr:col>
          <xdr:colOff>641350</xdr:colOff>
          <xdr:row>0</xdr:row>
          <xdr:rowOff>1720850</xdr:rowOff>
        </xdr:to>
        <xdr:sp macro="" textlink="">
          <xdr:nvSpPr>
            <xdr:cNvPr id="1049" name="CheckBox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215900</xdr:colOff>
          <xdr:row>0</xdr:row>
          <xdr:rowOff>1822450</xdr:rowOff>
        </xdr:from>
        <xdr:to>
          <xdr:col>3</xdr:col>
          <xdr:colOff>501650</xdr:colOff>
          <xdr:row>0</xdr:row>
          <xdr:rowOff>2159000</xdr:rowOff>
        </xdr:to>
        <xdr:sp macro="" textlink="">
          <xdr:nvSpPr>
            <xdr:cNvPr id="1050" name="CheckBox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215900</xdr:colOff>
          <xdr:row>0</xdr:row>
          <xdr:rowOff>2298700</xdr:rowOff>
        </xdr:from>
        <xdr:to>
          <xdr:col>3</xdr:col>
          <xdr:colOff>279400</xdr:colOff>
          <xdr:row>0</xdr:row>
          <xdr:rowOff>2578100</xdr:rowOff>
        </xdr:to>
        <xdr:sp macro="" textlink="">
          <xdr:nvSpPr>
            <xdr:cNvPr id="1051" name="CheckBox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0</xdr:row>
          <xdr:rowOff>25400</xdr:rowOff>
        </xdr:from>
        <xdr:to>
          <xdr:col>4</xdr:col>
          <xdr:colOff>1511300</xdr:colOff>
          <xdr:row>0</xdr:row>
          <xdr:rowOff>330200</xdr:rowOff>
        </xdr:to>
        <xdr:sp macro="" textlink="">
          <xdr:nvSpPr>
            <xdr:cNvPr id="1052" name="CheckBox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0</xdr:row>
          <xdr:rowOff>444500</xdr:rowOff>
        </xdr:from>
        <xdr:to>
          <xdr:col>4</xdr:col>
          <xdr:colOff>2222500</xdr:colOff>
          <xdr:row>0</xdr:row>
          <xdr:rowOff>774700</xdr:rowOff>
        </xdr:to>
        <xdr:sp macro="" textlink="">
          <xdr:nvSpPr>
            <xdr:cNvPr id="1053" name="CheckBox14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0</xdr:row>
          <xdr:rowOff>920750</xdr:rowOff>
        </xdr:from>
        <xdr:to>
          <xdr:col>4</xdr:col>
          <xdr:colOff>1066800</xdr:colOff>
          <xdr:row>0</xdr:row>
          <xdr:rowOff>1231900</xdr:rowOff>
        </xdr:to>
        <xdr:sp macro="" textlink="">
          <xdr:nvSpPr>
            <xdr:cNvPr id="1054" name="CheckBox15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0</xdr:colOff>
      <xdr:row>0</xdr:row>
      <xdr:rowOff>0</xdr:rowOff>
    </xdr:from>
    <xdr:to>
      <xdr:col>9</xdr:col>
      <xdr:colOff>762000</xdr:colOff>
      <xdr:row>0</xdr:row>
      <xdr:rowOff>787400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6200" y="0"/>
          <a:ext cx="762000" cy="7874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1270000</xdr:colOff>
      <xdr:row>0</xdr:row>
      <xdr:rowOff>1270000</xdr:rowOff>
    </xdr:to>
    <xdr:sp macro="" textlink="">
      <xdr:nvSpPr>
        <xdr:cNvPr id="2" name="medidorTemp" hidden="1">
          <a:extLst>
            <a:ext uri="{FF2B5EF4-FFF2-40B4-BE49-F238E27FC236}">
              <a16:creationId xmlns:a16="http://schemas.microsoft.com/office/drawing/2014/main" id="{A21214AA-B4E0-4161-8DBB-5432F19D0EAB}"/>
            </a:ext>
          </a:extLst>
        </xdr:cNvPr>
        <xdr:cNvSpPr txBox="1"/>
      </xdr:nvSpPr>
      <xdr:spPr>
        <a:xfrm>
          <a:off x="0" y="0"/>
          <a:ext cx="1270000" cy="1270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/>
        <a:lstStyle/>
        <a:p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679450</xdr:colOff>
          <xdr:row>0</xdr:row>
          <xdr:rowOff>1041400</xdr:rowOff>
        </xdr:from>
        <xdr:to>
          <xdr:col>13</xdr:col>
          <xdr:colOff>1936750</xdr:colOff>
          <xdr:row>0</xdr:row>
          <xdr:rowOff>1473200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PDF COM PREÇO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B47E27-7BAB-43C8-B3B1-9E140CA6C6D4}" name="Tabela1" displayName="Tabela1" ref="A3:F11" totalsRowShown="0" headerRowDxfId="16">
  <autoFilter ref="A3:F11" xr:uid="{25B47E27-7BAB-43C8-B3B1-9E140CA6C6D4}"/>
  <tableColumns count="6">
    <tableColumn id="1" xr3:uid="{DB8F64AA-A2DE-4313-84A3-A1B830182250}" name="INGREDIENTE"/>
    <tableColumn id="2" xr3:uid="{5C520337-46A8-46FE-9685-FC2001BC056C}" name="QUANTIDADE"/>
    <tableColumn id="3" xr3:uid="{798B5701-A404-4FC2-9684-59EB7FD1381E}" name="PESO/LITROS"/>
    <tableColumn id="4" xr3:uid="{14EDE44D-7B37-46B8-9D9B-C2B39ABE7195}" name="UNIDADE (kg/g/LITROS/ml )"/>
    <tableColumn id="5" xr3:uid="{28EE9822-EC56-4D34-8982-D874057B0D22}" name="PREÇO UNITARIO" dataDxfId="15"/>
    <tableColumn id="6" xr3:uid="{AC85DEA6-AB2A-49C4-87DE-6D9DD8931C14}" name="PREÇO TOTAL" dataDxfId="14">
      <calculatedColumnFormula>PRODUCT(E4,B4)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6C41C6-29B1-49E8-9E27-DBF48FD304FE}" name="Tabela13" displayName="Tabela13" ref="A14:D21" totalsRowShown="0" headerRowDxfId="13">
  <autoFilter ref="A14:D21" xr:uid="{286C41C6-29B1-49E8-9E27-DBF48FD304FE}"/>
  <tableColumns count="4">
    <tableColumn id="1" xr3:uid="{35C87086-97EA-42A2-83A2-68130A92160E}" name="INGREDIENTE"/>
    <tableColumn id="2" xr3:uid="{88BCAC65-1586-413A-9B78-FD1C8C7F763A}" name="QUANTIDADE"/>
    <tableColumn id="3" xr3:uid="{D8A787C9-FAA7-4C8E-8AE0-9DD77F3A2125}" name="PESO/LITROS"/>
    <tableColumn id="4" xr3:uid="{31C26EB4-E733-4BB2-BE15-2C3A0E52AFBC}" name="UNIDADE (kg/g/LITROS/ml 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1FE6F7-3032-4095-A563-159B1E65B13C}" name="Tabela3" displayName="Tabela3" ref="A24:D31" totalsRowShown="0">
  <autoFilter ref="A24:D31" xr:uid="{1F1FE6F7-3032-4095-A563-159B1E65B13C}"/>
  <tableColumns count="4">
    <tableColumn id="1" xr3:uid="{B523B758-A871-45BF-8236-45540516FBFB}" name="INGREDIENTE"/>
    <tableColumn id="2" xr3:uid="{C9A128B2-FAC9-4FB7-9BF2-63C405953FD9}" name="QUANTIDADE"/>
    <tableColumn id="3" xr3:uid="{FBAEA5F1-9FCA-4594-9F1F-843BEBBA37E7}" name="PESO/LITROS"/>
    <tableColumn id="4" xr3:uid="{497DB672-41A7-48F5-A1CF-B0A92C62BC97}" name="UNIDADE (kg/g/LITROS/ml )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41EDD6-9D3E-4FF3-B2F0-E921D7996AA8}" name="Tabela35" displayName="Tabela35" ref="A34:F42" totalsRowShown="0">
  <autoFilter ref="A34:F42" xr:uid="{FE41EDD6-9D3E-4FF3-B2F0-E921D7996AA8}"/>
  <tableColumns count="6">
    <tableColumn id="1" xr3:uid="{C022EE52-D374-49BF-A353-BFBDF9780395}" name="INGREDIENTE"/>
    <tableColumn id="2" xr3:uid="{E089CC44-284D-4BA7-BACE-C1274643CC6D}" name="QUANTIDADE"/>
    <tableColumn id="3" xr3:uid="{400705F5-872F-4489-A8C3-BB3EDD5FABCD}" name="PESO/LITROS"/>
    <tableColumn id="4" xr3:uid="{627D9F06-D56D-4ADC-8E93-A8E3CC957870}" name="UNIDADE (kg/g/LITROS/ml )"/>
    <tableColumn id="5" xr3:uid="{3788FA57-DB45-44DC-A0F3-A38726CCA1B3}" name="PREÇO UNITARIO"/>
    <tableColumn id="6" xr3:uid="{EB38FD17-E56F-44E6-9959-8E2373292E06}" name="PREÇO TOTAL" dataDxfId="12">
      <calculatedColumnFormula>PRODUCT(E35,B35)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AB871F-823E-4AC5-9F42-6194B8015B21}" name="Tabela356" displayName="Tabela356" ref="A45:F53" totalsRowShown="0">
  <autoFilter ref="A45:F53" xr:uid="{7DAB871F-823E-4AC5-9F42-6194B8015B21}"/>
  <tableColumns count="6">
    <tableColumn id="1" xr3:uid="{7296B596-7CE8-4B01-B406-A787D74B81EF}" name="INGREDIENTE"/>
    <tableColumn id="2" xr3:uid="{44EA954C-7B34-44D8-9767-DFDD2C5BD833}" name="QUANTIDADE"/>
    <tableColumn id="3" xr3:uid="{F0DD705E-9D22-4E6B-970D-7A424255C144}" name="PESO/LITROS"/>
    <tableColumn id="4" xr3:uid="{54F7E08E-20C8-487D-B4A0-D22EDED776BE}" name="UNIDADE (kg/g/LITROS/ml )"/>
    <tableColumn id="5" xr3:uid="{9D35BA36-5E1E-435E-936B-84B216179770}" name="PREÇO UNITARIO"/>
    <tableColumn id="6" xr3:uid="{DB45468C-8F98-449E-9711-25396FDFF885}" name="PREÇO TOTAL">
      <calculatedColumnFormula>PRODUCT(E46,B46)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93CF7B3-684A-4BFC-8DED-3B14C4201323}" name="Tabela3567" displayName="Tabela3567" ref="A56:F66" totalsRowShown="0">
  <autoFilter ref="A56:F66" xr:uid="{293CF7B3-684A-4BFC-8DED-3B14C4201323}"/>
  <tableColumns count="6">
    <tableColumn id="1" xr3:uid="{DBB9F776-47A4-4ABB-8E2E-152B208CA82D}" name="INGREDIENTE"/>
    <tableColumn id="2" xr3:uid="{7FB91A54-F072-4324-8ED1-BDAD8A293653}" name="QUANTIDADE"/>
    <tableColumn id="3" xr3:uid="{A7B8CF9B-FBED-4383-A076-A2A89BE266A0}" name="PESO/LITROS"/>
    <tableColumn id="4" xr3:uid="{3BE0E6C6-C019-4D96-BEE9-45F14B00F76E}" name="UNIDADE (kg/g/LITROS/ml )"/>
    <tableColumn id="5" xr3:uid="{504F77EC-BEE3-4AF2-AA26-E2E110DDB671}" name="PREÇO UNITARIO"/>
    <tableColumn id="6" xr3:uid="{5C9D3DF2-3B89-44AB-8226-375E8D1E332F}" name="PREÇO TOTAL" dataDxfId="11">
      <calculatedColumnFormula>PRODUCT(E57,B57)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DD05D11-358E-484F-A154-81771A5D7E20}" name="Tabela35678" displayName="Tabela35678" ref="A69:F75" totalsRowShown="0">
  <autoFilter ref="A69:F75" xr:uid="{1DD05D11-358E-484F-A154-81771A5D7E20}"/>
  <tableColumns count="6">
    <tableColumn id="1" xr3:uid="{BBDA758E-EB8C-4ABF-B370-70D9A2A8CDF1}" name="INGREDIENTE"/>
    <tableColumn id="2" xr3:uid="{508ABB7C-E225-4EF1-BE5B-4AC0E7A30B2D}" name="QUANTIDADE"/>
    <tableColumn id="3" xr3:uid="{55A4A77B-C83C-470D-AB32-B43A1D949044}" name="PESO/LITROS"/>
    <tableColumn id="4" xr3:uid="{B05E6237-80BE-4A56-9628-60EB4923E6EE}" name="UNIDADE (kg/g/LITROS/ml )"/>
    <tableColumn id="5" xr3:uid="{325E555F-4F88-4574-885D-CDCCD8A85FB3}" name="PREÇO UNITARIO" dataDxfId="10"/>
    <tableColumn id="6" xr3:uid="{73B7D3A6-7B67-4789-96F0-16C446664F19}" name="PREÇO TOTAL" dataDxfId="9">
      <calculatedColumnFormula>PRODUCT(E70,B70)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81754AD-3C4F-4033-8BE6-6C8E988EAD61}" name="Tabela356789" displayName="Tabela356789" ref="A78:F86" totalsRowShown="0">
  <autoFilter ref="A78:F86" xr:uid="{081754AD-3C4F-4033-8BE6-6C8E988EAD61}"/>
  <tableColumns count="6">
    <tableColumn id="1" xr3:uid="{5DF70BA2-25BD-43B0-89FF-C2FB171A5EA2}" name="INGREDIENTE"/>
    <tableColumn id="5" xr3:uid="{86091B5D-C6C0-48DE-98F6-84CF8DAA3C45}" name="QUANTIDADE"/>
    <tableColumn id="7" xr3:uid="{0588A685-073D-44FC-B1DB-FA692E7DC5CD}" name="PESO/LITROS"/>
    <tableColumn id="8" xr3:uid="{87A8DB6A-A494-4BFC-962B-1FFAAAE6504E}" name="UNIDADE (kg/g/LITROS/ml )"/>
    <tableColumn id="2" xr3:uid="{C7006297-48BC-4675-A647-25BE638C64B0}" name="PREÇO UNITARIO"/>
    <tableColumn id="3" xr3:uid="{79C8CF95-A7FD-49D9-B1C6-8881B55D8CA1}" name="PREÇO TOTAL" dataDxfId="8">
      <calculatedColumnFormula>PRODUCT(E79,B79)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66FC328-D013-4CF7-AFCE-6438B4A4BE49}" name="Tabela35678910" displayName="Tabela35678910" ref="A89:F96" totalsRowShown="0">
  <autoFilter ref="A89:F96" xr:uid="{766FC328-D013-4CF7-AFCE-6438B4A4BE49}"/>
  <tableColumns count="6">
    <tableColumn id="1" xr3:uid="{FB8192BE-1FB0-458C-A759-469F92B8D489}" name="INGREDIENTE"/>
    <tableColumn id="5" xr3:uid="{AC130F06-AE93-4C85-BECE-0D9CDD9130BB}" name="QUANTIDADE"/>
    <tableColumn id="7" xr3:uid="{E2DB4906-3E8A-4785-BE2F-7BC04335DEA0}" name="PESO/LITROS"/>
    <tableColumn id="8" xr3:uid="{BF6ACFCC-0B35-42FC-B886-BEAF987C2567}" name="UNIDADE (kg/g/LITROS/ml )"/>
    <tableColumn id="2" xr3:uid="{B4381B55-8C27-458C-9AF2-697670784D4A}" name="PREÇO UNITARIO"/>
    <tableColumn id="3" xr3:uid="{A4D28277-5B0E-471A-9FF0-5A2E438C7B13}" name="PREÇO TOTAL" dataDxfId="7">
      <calculatedColumnFormula>PRODUCT(E90,B90)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67D69F2-8F30-4A65-8EE5-DED961668A94}" name="Tabela3567891011" displayName="Tabela3567891011" ref="A99:F108" totalsRowShown="0">
  <autoFilter ref="A99:F108" xr:uid="{F67D69F2-8F30-4A65-8EE5-DED961668A94}"/>
  <tableColumns count="6">
    <tableColumn id="1" xr3:uid="{B8C18BD0-CE53-49C8-B5FE-C49E1603E7DE}" name="INGREDIENTE"/>
    <tableColumn id="5" xr3:uid="{19F5C811-B7B8-4B30-81E9-7DED9C783DFF}" name="QUANTIDADE"/>
    <tableColumn id="7" xr3:uid="{81D30486-CC5B-4778-8E9F-79A593B469E5}" name="PESO/LITROS"/>
    <tableColumn id="8" xr3:uid="{B2059C3B-E1B6-4813-BA39-B2A304ADC839}" name="UNIDADE (kg/g/LITROS/ml )"/>
    <tableColumn id="2" xr3:uid="{9379EFCD-9324-48E1-B914-17F058390DEE}" name="PREÇO UNITARIO"/>
    <tableColumn id="3" xr3:uid="{241F0C79-5CE8-4FA5-B682-89528F0F1B27}" name="PREÇO TOTAL" dataDxfId="6">
      <calculatedColumnFormula>PRODUCT(E100,B100)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70C70-E597-4714-A97E-2490B0096ED3}" name="Tabela356789101112" displayName="Tabela356789101112" ref="A111:F116" totalsRowShown="0">
  <autoFilter ref="A111:F116" xr:uid="{1CB70C70-E597-4714-A97E-2490B0096ED3}"/>
  <tableColumns count="6">
    <tableColumn id="1" xr3:uid="{5DDDDC3C-1924-4055-9B4B-753469E0A5E7}" name="INGREDIENTE"/>
    <tableColumn id="5" xr3:uid="{B7067D47-0041-438D-ABAF-E20EC4D7D2A0}" name="QUANTIDADE"/>
    <tableColumn id="7" xr3:uid="{732EB255-026B-4838-B653-29011347BF6D}" name="PESO/LITROS"/>
    <tableColumn id="8" xr3:uid="{B24B4A05-755D-4AE6-95B3-A7EADA241709}" name="UNIDADE (kg/g/LITROS/ml )"/>
    <tableColumn id="2" xr3:uid="{CA95F8A6-BF4F-4E17-8FFE-CCB8DA747B69}" name="PREÇO UNITARIO" dataDxfId="5"/>
    <tableColumn id="3" xr3:uid="{07661763-95D1-45DD-B1E6-7C0B4D7750BD}" name="PREÇO TOTAL" dataDxfId="4">
      <calculatedColumnFormula>PRODUCT(E112,B112)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92AB7B8-43AE-470C-ABDE-3E20FCF4F086}" name="Tabela35678910111213" displayName="Tabela35678910111213" ref="A119:F129" totalsRowShown="0">
  <autoFilter ref="A119:F129" xr:uid="{C92AB7B8-43AE-470C-ABDE-3E20FCF4F086}"/>
  <tableColumns count="6">
    <tableColumn id="1" xr3:uid="{7ED2651C-442D-48C2-8FA5-3E533289047A}" name="INGREDIENTE"/>
    <tableColumn id="5" xr3:uid="{BFCAB008-ECEF-4997-B367-583F86BA7AD0}" name="QUANTIDADE"/>
    <tableColumn id="7" xr3:uid="{70BA3D15-36BB-4AA5-A453-1FD246C67345}" name="PESO/LITROS"/>
    <tableColumn id="8" xr3:uid="{8C6E9505-8CDE-4CAD-BDC5-217D46D7982B}" name="UNIDADE (kg/g/LITROS/ml )"/>
    <tableColumn id="2" xr3:uid="{B9EFB74B-4511-40C0-9709-F199BB9E23A6}" name="PREÇO UNITARIO"/>
    <tableColumn id="3" xr3:uid="{40E16766-C46E-4FBA-A504-86EFAA5D9D3B}" name="PREÇO TOTAL" dataDxfId="3">
      <calculatedColumnFormula>PRODUCT(E120,B120)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93A8C95-FED2-4491-B028-606F92E8503B}" name="Tabela3567891011121314" displayName="Tabela3567891011121314" ref="A132:F138" totalsRowShown="0">
  <autoFilter ref="A132:F138" xr:uid="{B93A8C95-FED2-4491-B028-606F92E8503B}"/>
  <tableColumns count="6">
    <tableColumn id="1" xr3:uid="{7CEE2976-4977-45D9-A0FB-EE2B3B74B7DB}" name="ITENS"/>
    <tableColumn id="5" xr3:uid="{68FE5718-595E-4407-A592-0FB87CD93FE5}" name="QUANTIDADE"/>
    <tableColumn id="7" xr3:uid="{50953E87-2CFC-4D42-89DD-B3BC62AFD967}" name="PESO/LITROS"/>
    <tableColumn id="8" xr3:uid="{27C2F368-D474-4FAB-A74A-5A4628B87B0E}" name="UNIDADE (kg/g/LITROS/ml )"/>
    <tableColumn id="2" xr3:uid="{637E1A5F-D6CC-4EA9-A932-F7B8E4D87F60}" name="PREÇO UNITARIO"/>
    <tableColumn id="3" xr3:uid="{0E16A312-C7B5-4B31-AE0C-00D93C918433}" name="PREÇO TOTAL" dataDxfId="2">
      <calculatedColumnFormula>PRODUCT(E133,B133)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A1E5305-580D-45F6-9274-E19BE21D6F2E}" name="Tabela356789101112131415" displayName="Tabela356789101112131415" ref="A141:F158" totalsRowShown="0">
  <autoFilter ref="A141:F158" xr:uid="{AA1E5305-580D-45F6-9274-E19BE21D6F2E}"/>
  <tableColumns count="6">
    <tableColumn id="1" xr3:uid="{FFD91C79-25D2-476A-87D2-350CF20FF7D5}" name="ITENS"/>
    <tableColumn id="5" xr3:uid="{AF1164FF-38B2-4B21-AD19-800337649599}" name="QUANTIDADE"/>
    <tableColumn id="7" xr3:uid="{943796C4-1E30-43BC-88C6-161C4E65AEFC}" name="PESO/LITROS"/>
    <tableColumn id="8" xr3:uid="{235DFD97-9CE8-44DA-852A-732D1439D3AC}" name="UNIDADE (kg/g/LITROS/ml )"/>
    <tableColumn id="4" xr3:uid="{D36B43B0-2665-46C1-BC66-86019E6C928A}" name="PREÇO UNITARIO"/>
    <tableColumn id="6" xr3:uid="{C5697FC5-B86A-449E-BC97-42E46DCF9E48}" name="PREÇO TOTAL" dataDxfId="1">
      <calculatedColumnFormula>PRODUCT(E142,B142)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F72FD94-F6BD-4230-9C20-5E4ACFCBBA32}" name="Tabela3567891011121316" displayName="Tabela3567891011121316" ref="A161:F185" totalsRowShown="0">
  <autoFilter ref="A161:F185" xr:uid="{CF72FD94-F6BD-4230-9C20-5E4ACFCBBA32}"/>
  <tableColumns count="6">
    <tableColumn id="1" xr3:uid="{C8254754-EE9D-4064-AB5C-CB51B74FCFE2}" name="INGREDIENTE"/>
    <tableColumn id="5" xr3:uid="{03CE891E-BA9B-43C4-AECD-37E9C29CFE3E}" name="QUANTIDADE"/>
    <tableColumn id="7" xr3:uid="{048DB2BD-1FE7-4DDC-957E-C8836DA22033}" name="PESO/LITROS"/>
    <tableColumn id="8" xr3:uid="{B91837ED-7CC4-4BF6-8A7E-2DFB10C5F8EB}" name="UNIDADE (kg/g/LITROS/ml )"/>
    <tableColumn id="2" xr3:uid="{5C1746BB-486B-47FD-8425-0AC9861295E4}" name="PREÇO UNITARIO"/>
    <tableColumn id="3" xr3:uid="{EE85274A-24B5-467B-9D87-8B7ADBB982EA}" name="PREÇO TOTAL" dataDxfId="0">
      <calculatedColumnFormula>PRODUCT(E162,B162)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table" Target="../tables/table2.xml"/><Relationship Id="rId47" Type="http://schemas.openxmlformats.org/officeDocument/2006/relationships/table" Target="../tables/table7.xml"/><Relationship Id="rId50" Type="http://schemas.openxmlformats.org/officeDocument/2006/relationships/table" Target="../tables/table10.xml"/><Relationship Id="rId55" Type="http://schemas.openxmlformats.org/officeDocument/2006/relationships/table" Target="../tables/table15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trlProp" Target="../ctrlProps/ctrlProp3.xml"/><Relationship Id="rId45" Type="http://schemas.openxmlformats.org/officeDocument/2006/relationships/table" Target="../tables/table5.xml"/><Relationship Id="rId53" Type="http://schemas.openxmlformats.org/officeDocument/2006/relationships/table" Target="../tables/table13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table" Target="../tables/table4.xml"/><Relationship Id="rId52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table" Target="../tables/table3.xml"/><Relationship Id="rId48" Type="http://schemas.openxmlformats.org/officeDocument/2006/relationships/table" Target="../tables/table8.xml"/><Relationship Id="rId8" Type="http://schemas.openxmlformats.org/officeDocument/2006/relationships/control" Target="../activeX/activeX3.xml"/><Relationship Id="rId51" Type="http://schemas.openxmlformats.org/officeDocument/2006/relationships/table" Target="../tables/table1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1.xml"/><Relationship Id="rId46" Type="http://schemas.openxmlformats.org/officeDocument/2006/relationships/table" Target="../tables/table6.xml"/><Relationship Id="rId20" Type="http://schemas.openxmlformats.org/officeDocument/2006/relationships/control" Target="../activeX/activeX9.xml"/><Relationship Id="rId41" Type="http://schemas.openxmlformats.org/officeDocument/2006/relationships/table" Target="../tables/table1.xml"/><Relationship Id="rId54" Type="http://schemas.openxmlformats.org/officeDocument/2006/relationships/table" Target="../tables/table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Z185"/>
  <sheetViews>
    <sheetView tabSelected="1" workbookViewId="0">
      <selection activeCell="J2" sqref="J2:M2"/>
    </sheetView>
  </sheetViews>
  <sheetFormatPr defaultRowHeight="14.5" x14ac:dyDescent="0.35"/>
  <cols>
    <col min="1" max="1" width="35.08984375" customWidth="1"/>
    <col min="2" max="2" width="15.6328125" customWidth="1"/>
    <col min="3" max="3" width="15.08984375" customWidth="1"/>
    <col min="4" max="4" width="29.1796875" customWidth="1"/>
    <col min="5" max="5" width="32.26953125" customWidth="1"/>
    <col min="6" max="6" width="18" customWidth="1"/>
    <col min="7" max="7" width="2.81640625" customWidth="1"/>
    <col min="8" max="8" width="8.54296875" customWidth="1"/>
    <col min="9" max="9" width="8.08984375" customWidth="1"/>
    <col min="10" max="10" width="31.81640625" style="21" customWidth="1"/>
    <col min="11" max="11" width="21.1796875" style="21" customWidth="1"/>
    <col min="12" max="12" width="27.453125" style="21" customWidth="1"/>
    <col min="13" max="13" width="16.1796875" customWidth="1"/>
    <col min="14" max="14" width="33.36328125" customWidth="1"/>
    <col min="15" max="15" width="10.1796875" customWidth="1"/>
    <col min="16" max="16" width="30.08984375" customWidth="1"/>
    <col min="17" max="17" width="41" customWidth="1"/>
    <col min="18" max="18" width="79.36328125" customWidth="1"/>
    <col min="22" max="22" width="26.81640625" customWidth="1"/>
    <col min="23" max="23" width="16.36328125" customWidth="1"/>
    <col min="24" max="24" width="10.1796875" customWidth="1"/>
  </cols>
  <sheetData>
    <row r="1" spans="1:26" ht="216.5" customHeight="1" thickTop="1" thickBot="1" x14ac:dyDescent="0.4">
      <c r="A1" s="27"/>
      <c r="B1" s="28"/>
      <c r="C1" s="64"/>
      <c r="D1" s="64"/>
      <c r="E1" s="35"/>
      <c r="J1" s="65" t="s">
        <v>118</v>
      </c>
      <c r="K1" s="22">
        <v>100</v>
      </c>
      <c r="L1" s="22" t="s">
        <v>55</v>
      </c>
      <c r="M1" s="62"/>
      <c r="R1" t="s">
        <v>102</v>
      </c>
      <c r="V1" t="s">
        <v>13</v>
      </c>
      <c r="W1" t="s">
        <v>114</v>
      </c>
      <c r="X1" s="18" t="s">
        <v>49</v>
      </c>
      <c r="Z1" s="67"/>
    </row>
    <row r="2" spans="1:26" ht="24" customHeight="1" thickTop="1" x14ac:dyDescent="0.35">
      <c r="A2" s="2"/>
      <c r="B2" s="3" t="s">
        <v>13</v>
      </c>
      <c r="C2" s="2"/>
      <c r="D2" s="2"/>
      <c r="E2" s="2"/>
      <c r="F2" s="2"/>
      <c r="J2" s="66" t="s">
        <v>119</v>
      </c>
      <c r="K2" s="66"/>
      <c r="L2" s="66"/>
      <c r="M2" s="66"/>
      <c r="R2" t="s">
        <v>56</v>
      </c>
      <c r="V2" t="s">
        <v>14</v>
      </c>
      <c r="W2" t="s">
        <v>114</v>
      </c>
      <c r="X2" t="s">
        <v>50</v>
      </c>
    </row>
    <row r="3" spans="1:26" ht="15.5" x14ac:dyDescent="0.35">
      <c r="A3" s="1" t="s">
        <v>1</v>
      </c>
      <c r="B3" s="1" t="s">
        <v>2</v>
      </c>
      <c r="C3" s="1" t="s">
        <v>3</v>
      </c>
      <c r="D3" s="1" t="s">
        <v>8</v>
      </c>
      <c r="E3" s="1" t="s">
        <v>113</v>
      </c>
      <c r="F3" s="1" t="s">
        <v>112</v>
      </c>
      <c r="J3" s="38" t="s">
        <v>100</v>
      </c>
      <c r="K3" s="38" t="s">
        <v>2</v>
      </c>
      <c r="L3" s="38" t="s">
        <v>8</v>
      </c>
      <c r="M3" s="58" t="s">
        <v>112</v>
      </c>
      <c r="N3" s="63" t="s">
        <v>115</v>
      </c>
      <c r="V3" t="s">
        <v>20</v>
      </c>
      <c r="W3" t="s">
        <v>114</v>
      </c>
      <c r="X3" t="s">
        <v>51</v>
      </c>
    </row>
    <row r="4" spans="1:26" ht="14.5" customHeight="1" x14ac:dyDescent="0.35">
      <c r="A4" t="s">
        <v>116</v>
      </c>
      <c r="B4">
        <v>1</v>
      </c>
      <c r="C4">
        <v>1</v>
      </c>
      <c r="D4" t="s">
        <v>25</v>
      </c>
      <c r="E4" s="43">
        <v>17.25</v>
      </c>
      <c r="F4" s="20">
        <f t="shared" ref="F4:F11" si="0">PRODUCT(E4,B4)</f>
        <v>17.25</v>
      </c>
      <c r="J4" s="57" t="s">
        <v>116</v>
      </c>
      <c r="K4" s="57">
        <v>1</v>
      </c>
      <c r="L4" s="59" t="s">
        <v>25</v>
      </c>
      <c r="M4" s="61">
        <v>17.25</v>
      </c>
      <c r="N4" s="60">
        <f>SUM(M4:M100)</f>
        <v>2871.1</v>
      </c>
      <c r="V4" t="s">
        <v>27</v>
      </c>
      <c r="W4" t="s">
        <v>114</v>
      </c>
      <c r="X4" t="s">
        <v>52</v>
      </c>
    </row>
    <row r="5" spans="1:26" ht="14.5" customHeight="1" x14ac:dyDescent="0.35">
      <c r="A5" t="s">
        <v>4</v>
      </c>
      <c r="B5">
        <v>5</v>
      </c>
      <c r="C5">
        <v>1</v>
      </c>
      <c r="D5" t="s">
        <v>10</v>
      </c>
      <c r="E5" s="43">
        <v>5.31</v>
      </c>
      <c r="F5">
        <f t="shared" si="0"/>
        <v>26.549999999999997</v>
      </c>
      <c r="J5" s="57" t="s">
        <v>4</v>
      </c>
      <c r="K5" s="57">
        <v>5</v>
      </c>
      <c r="L5" s="59" t="s">
        <v>10</v>
      </c>
      <c r="M5" s="61">
        <v>26.549999999999997</v>
      </c>
      <c r="V5" t="s">
        <v>34</v>
      </c>
      <c r="W5" t="s">
        <v>114</v>
      </c>
      <c r="X5" t="s">
        <v>53</v>
      </c>
    </row>
    <row r="6" spans="1:26" ht="14.5" customHeight="1" x14ac:dyDescent="0.35">
      <c r="A6" t="s">
        <v>107</v>
      </c>
      <c r="B6">
        <v>5</v>
      </c>
      <c r="C6">
        <v>1</v>
      </c>
      <c r="D6" t="s">
        <v>25</v>
      </c>
      <c r="E6" s="43">
        <v>2.2999999999999998</v>
      </c>
      <c r="F6">
        <f t="shared" si="0"/>
        <v>11.5</v>
      </c>
      <c r="J6" s="57" t="s">
        <v>107</v>
      </c>
      <c r="K6" s="57">
        <v>7</v>
      </c>
      <c r="L6" s="59" t="s">
        <v>25</v>
      </c>
      <c r="M6" s="61">
        <v>21.5</v>
      </c>
      <c r="V6" t="s">
        <v>40</v>
      </c>
      <c r="W6" t="s">
        <v>114</v>
      </c>
      <c r="X6" t="s">
        <v>54</v>
      </c>
    </row>
    <row r="7" spans="1:26" ht="14.5" customHeight="1" x14ac:dyDescent="0.35">
      <c r="A7" t="s">
        <v>5</v>
      </c>
      <c r="B7">
        <v>1</v>
      </c>
      <c r="C7">
        <v>200</v>
      </c>
      <c r="D7" t="s">
        <v>12</v>
      </c>
      <c r="E7" s="43">
        <v>5</v>
      </c>
      <c r="F7">
        <f t="shared" si="0"/>
        <v>5</v>
      </c>
      <c r="J7" s="57" t="s">
        <v>5</v>
      </c>
      <c r="K7" s="57">
        <v>700</v>
      </c>
      <c r="L7" s="59" t="s">
        <v>12</v>
      </c>
      <c r="M7" s="61">
        <v>5</v>
      </c>
      <c r="V7" t="s">
        <v>48</v>
      </c>
      <c r="W7" t="s">
        <v>114</v>
      </c>
      <c r="X7" t="s">
        <v>60</v>
      </c>
    </row>
    <row r="8" spans="1:26" ht="14.5" customHeight="1" x14ac:dyDescent="0.35">
      <c r="A8" t="s">
        <v>6</v>
      </c>
      <c r="B8">
        <v>1</v>
      </c>
      <c r="C8">
        <v>500</v>
      </c>
      <c r="D8" t="s">
        <v>12</v>
      </c>
      <c r="E8" s="43">
        <v>5</v>
      </c>
      <c r="F8">
        <f t="shared" si="0"/>
        <v>5</v>
      </c>
      <c r="J8" s="57" t="s">
        <v>6</v>
      </c>
      <c r="K8" s="57">
        <v>500</v>
      </c>
      <c r="L8" s="59" t="s">
        <v>12</v>
      </c>
      <c r="M8" s="61">
        <v>5</v>
      </c>
      <c r="V8" t="s">
        <v>61</v>
      </c>
      <c r="W8" t="s">
        <v>114</v>
      </c>
      <c r="X8" t="s">
        <v>68</v>
      </c>
    </row>
    <row r="9" spans="1:26" ht="14.5" customHeight="1" x14ac:dyDescent="0.35">
      <c r="A9" t="s">
        <v>7</v>
      </c>
      <c r="B9">
        <v>1</v>
      </c>
      <c r="C9">
        <v>114</v>
      </c>
      <c r="D9" t="s">
        <v>12</v>
      </c>
      <c r="E9" s="43">
        <v>2</v>
      </c>
      <c r="F9">
        <f t="shared" si="0"/>
        <v>2</v>
      </c>
      <c r="J9" s="57" t="s">
        <v>7</v>
      </c>
      <c r="K9" s="57">
        <v>114</v>
      </c>
      <c r="L9" s="59" t="s">
        <v>12</v>
      </c>
      <c r="M9" s="61">
        <v>2</v>
      </c>
      <c r="V9" t="s">
        <v>63</v>
      </c>
      <c r="W9" t="s">
        <v>114</v>
      </c>
      <c r="X9" t="s">
        <v>69</v>
      </c>
    </row>
    <row r="10" spans="1:26" ht="14.5" customHeight="1" x14ac:dyDescent="0.35">
      <c r="E10" s="43"/>
      <c r="F10">
        <f t="shared" si="0"/>
        <v>0</v>
      </c>
      <c r="J10" s="57" t="s">
        <v>15</v>
      </c>
      <c r="K10" s="57">
        <v>1.5</v>
      </c>
      <c r="L10" s="59" t="s">
        <v>9</v>
      </c>
      <c r="M10" s="61">
        <v>15</v>
      </c>
      <c r="V10" t="s">
        <v>71</v>
      </c>
      <c r="W10" t="s">
        <v>114</v>
      </c>
      <c r="X10" t="s">
        <v>77</v>
      </c>
    </row>
    <row r="11" spans="1:26" ht="14.5" customHeight="1" x14ac:dyDescent="0.35">
      <c r="A11" s="10"/>
      <c r="B11" s="10"/>
      <c r="C11" s="10"/>
      <c r="D11" s="10"/>
      <c r="E11" s="43"/>
      <c r="F11">
        <f t="shared" si="0"/>
        <v>0</v>
      </c>
      <c r="J11" s="57" t="s">
        <v>16</v>
      </c>
      <c r="K11" s="57">
        <v>2</v>
      </c>
      <c r="L11" s="59" t="s">
        <v>9</v>
      </c>
      <c r="M11" s="61">
        <v>5.32</v>
      </c>
      <c r="V11" t="s">
        <v>74</v>
      </c>
      <c r="W11" t="s">
        <v>114</v>
      </c>
      <c r="X11" t="s">
        <v>78</v>
      </c>
    </row>
    <row r="12" spans="1:26" ht="14.5" customHeight="1" x14ac:dyDescent="0.35">
      <c r="A12" s="10"/>
      <c r="B12" s="10"/>
      <c r="C12" s="10"/>
      <c r="D12" s="10"/>
      <c r="J12" s="57" t="s">
        <v>17</v>
      </c>
      <c r="K12" s="57">
        <v>5</v>
      </c>
      <c r="L12" s="59" t="s">
        <v>9</v>
      </c>
      <c r="M12" s="61">
        <v>10.32</v>
      </c>
      <c r="V12" t="s">
        <v>101</v>
      </c>
      <c r="W12" t="s">
        <v>114</v>
      </c>
      <c r="X12" t="s">
        <v>86</v>
      </c>
    </row>
    <row r="13" spans="1:26" ht="18" x14ac:dyDescent="0.35">
      <c r="A13" s="4"/>
      <c r="B13" s="5" t="s">
        <v>14</v>
      </c>
      <c r="C13" s="4"/>
      <c r="D13" s="4"/>
      <c r="E13" s="4"/>
      <c r="F13" s="4"/>
      <c r="J13" s="57" t="s">
        <v>18</v>
      </c>
      <c r="K13" s="57">
        <v>1</v>
      </c>
      <c r="L13" s="59" t="s">
        <v>9</v>
      </c>
      <c r="M13" s="61">
        <v>5</v>
      </c>
      <c r="V13" t="s">
        <v>87</v>
      </c>
      <c r="W13" t="s">
        <v>114</v>
      </c>
      <c r="X13" t="s">
        <v>98</v>
      </c>
    </row>
    <row r="14" spans="1:26" ht="15.5" x14ac:dyDescent="0.35">
      <c r="A14" s="1" t="s">
        <v>1</v>
      </c>
      <c r="B14" s="1" t="s">
        <v>2</v>
      </c>
      <c r="C14" s="1" t="s">
        <v>3</v>
      </c>
      <c r="D14" s="1" t="s">
        <v>8</v>
      </c>
      <c r="E14" s="44" t="s">
        <v>113</v>
      </c>
      <c r="F14" s="45" t="s">
        <v>112</v>
      </c>
      <c r="J14" s="57" t="s">
        <v>19</v>
      </c>
      <c r="K14" s="57">
        <v>11</v>
      </c>
      <c r="L14" s="59" t="s">
        <v>9</v>
      </c>
      <c r="M14" s="61">
        <v>20</v>
      </c>
      <c r="V14" t="s">
        <v>90</v>
      </c>
      <c r="W14" t="s">
        <v>114</v>
      </c>
      <c r="X14" t="s">
        <v>99</v>
      </c>
    </row>
    <row r="15" spans="1:26" ht="16.5" customHeight="1" x14ac:dyDescent="0.35">
      <c r="A15" t="s">
        <v>15</v>
      </c>
      <c r="B15">
        <v>3</v>
      </c>
      <c r="C15">
        <v>500</v>
      </c>
      <c r="D15" t="s">
        <v>12</v>
      </c>
      <c r="E15" s="46">
        <v>5</v>
      </c>
      <c r="F15" s="41">
        <f t="shared" ref="F15:F21" si="1">PRODUCT(E15,B15)</f>
        <v>15</v>
      </c>
      <c r="J15" s="57" t="s">
        <v>21</v>
      </c>
      <c r="K15" s="57">
        <v>2.5</v>
      </c>
      <c r="L15" s="59" t="s">
        <v>9</v>
      </c>
      <c r="M15" s="61">
        <v>5</v>
      </c>
      <c r="V15" t="s">
        <v>79</v>
      </c>
      <c r="W15" t="s">
        <v>114</v>
      </c>
      <c r="X15" t="s">
        <v>103</v>
      </c>
    </row>
    <row r="16" spans="1:26" ht="14.5" customHeight="1" x14ac:dyDescent="0.35">
      <c r="A16" t="s">
        <v>16</v>
      </c>
      <c r="B16">
        <v>1</v>
      </c>
      <c r="C16">
        <v>2</v>
      </c>
      <c r="D16" t="s">
        <v>9</v>
      </c>
      <c r="E16" s="47">
        <v>5.32</v>
      </c>
      <c r="F16" s="42">
        <f t="shared" si="1"/>
        <v>5.32</v>
      </c>
      <c r="J16" s="57" t="s">
        <v>22</v>
      </c>
      <c r="K16" s="57">
        <v>2.5</v>
      </c>
      <c r="L16" s="59" t="s">
        <v>9</v>
      </c>
      <c r="M16" s="61">
        <v>5.32</v>
      </c>
    </row>
    <row r="17" spans="1:13" ht="14.5" customHeight="1" x14ac:dyDescent="0.35">
      <c r="A17" t="s">
        <v>17</v>
      </c>
      <c r="B17">
        <v>1</v>
      </c>
      <c r="C17">
        <v>2</v>
      </c>
      <c r="D17" t="s">
        <v>9</v>
      </c>
      <c r="E17" s="46">
        <v>5</v>
      </c>
      <c r="F17" s="41">
        <f t="shared" si="1"/>
        <v>5</v>
      </c>
      <c r="J17" s="57" t="s">
        <v>23</v>
      </c>
      <c r="K17" s="57">
        <v>2.5</v>
      </c>
      <c r="L17" s="59" t="s">
        <v>9</v>
      </c>
      <c r="M17" s="61">
        <v>5</v>
      </c>
    </row>
    <row r="18" spans="1:13" ht="14.5" customHeight="1" x14ac:dyDescent="0.35">
      <c r="A18" t="s">
        <v>18</v>
      </c>
      <c r="B18">
        <v>1</v>
      </c>
      <c r="C18">
        <v>1</v>
      </c>
      <c r="D18" t="s">
        <v>9</v>
      </c>
      <c r="E18" s="47">
        <v>5</v>
      </c>
      <c r="F18" s="42">
        <f t="shared" si="1"/>
        <v>5</v>
      </c>
      <c r="J18" s="57" t="s">
        <v>24</v>
      </c>
      <c r="K18" s="57">
        <v>4</v>
      </c>
      <c r="L18" s="59" t="s">
        <v>25</v>
      </c>
      <c r="M18" s="61">
        <v>20</v>
      </c>
    </row>
    <row r="19" spans="1:13" ht="14.5" customHeight="1" x14ac:dyDescent="0.35">
      <c r="A19" t="s">
        <v>19</v>
      </c>
      <c r="B19">
        <v>1</v>
      </c>
      <c r="C19">
        <v>2</v>
      </c>
      <c r="D19" t="s">
        <v>9</v>
      </c>
      <c r="E19" s="46">
        <v>5</v>
      </c>
      <c r="F19" s="41">
        <f t="shared" si="1"/>
        <v>5</v>
      </c>
      <c r="J19" s="57" t="s">
        <v>26</v>
      </c>
      <c r="K19" s="57">
        <v>3</v>
      </c>
      <c r="L19" s="59" t="s">
        <v>9</v>
      </c>
      <c r="M19" s="61">
        <v>5</v>
      </c>
    </row>
    <row r="20" spans="1:13" ht="14.5" customHeight="1" x14ac:dyDescent="0.35">
      <c r="E20" s="47"/>
      <c r="F20" s="42">
        <f t="shared" si="1"/>
        <v>0</v>
      </c>
      <c r="J20" s="57" t="s">
        <v>29</v>
      </c>
      <c r="K20" s="57">
        <v>3</v>
      </c>
      <c r="L20" s="59" t="s">
        <v>25</v>
      </c>
      <c r="M20" s="61">
        <v>15</v>
      </c>
    </row>
    <row r="21" spans="1:13" ht="14.5" customHeight="1" x14ac:dyDescent="0.35">
      <c r="E21" s="46"/>
      <c r="F21" s="41">
        <f t="shared" si="1"/>
        <v>0</v>
      </c>
      <c r="J21" s="57" t="s">
        <v>30</v>
      </c>
      <c r="K21" s="57">
        <v>4</v>
      </c>
      <c r="L21" s="59" t="s">
        <v>9</v>
      </c>
      <c r="M21" s="61">
        <v>26.28</v>
      </c>
    </row>
    <row r="22" spans="1:13" ht="14.5" customHeight="1" x14ac:dyDescent="0.35">
      <c r="E22" s="47"/>
      <c r="F22" s="42"/>
      <c r="J22" s="57" t="s">
        <v>31</v>
      </c>
      <c r="K22" s="57">
        <v>2</v>
      </c>
      <c r="L22" s="59" t="s">
        <v>25</v>
      </c>
      <c r="M22" s="61">
        <v>10</v>
      </c>
    </row>
    <row r="23" spans="1:13" ht="18" x14ac:dyDescent="0.35">
      <c r="A23" s="6"/>
      <c r="B23" s="7" t="s">
        <v>20</v>
      </c>
      <c r="C23" s="6"/>
      <c r="D23" s="6"/>
      <c r="E23" s="48"/>
      <c r="F23" s="48"/>
      <c r="J23" s="57" t="s">
        <v>32</v>
      </c>
      <c r="K23" s="57">
        <v>1.5</v>
      </c>
      <c r="L23" s="59" t="s">
        <v>9</v>
      </c>
      <c r="M23" s="61">
        <v>5</v>
      </c>
    </row>
    <row r="24" spans="1:13" ht="14.5" customHeight="1" x14ac:dyDescent="0.35">
      <c r="A24" t="s">
        <v>1</v>
      </c>
      <c r="B24" t="s">
        <v>2</v>
      </c>
      <c r="C24" t="s">
        <v>3</v>
      </c>
      <c r="D24" t="s">
        <v>8</v>
      </c>
      <c r="E24" s="44" t="s">
        <v>113</v>
      </c>
      <c r="F24" s="45" t="s">
        <v>112</v>
      </c>
      <c r="J24" s="57" t="s">
        <v>33</v>
      </c>
      <c r="K24" s="57">
        <v>400</v>
      </c>
      <c r="L24" s="59" t="s">
        <v>12</v>
      </c>
      <c r="M24" s="61">
        <v>0</v>
      </c>
    </row>
    <row r="25" spans="1:13" ht="14.5" customHeight="1" x14ac:dyDescent="0.35">
      <c r="A25" t="s">
        <v>21</v>
      </c>
      <c r="B25">
        <v>1</v>
      </c>
      <c r="C25">
        <v>2.5</v>
      </c>
      <c r="D25" t="s">
        <v>9</v>
      </c>
      <c r="E25" s="46">
        <v>5</v>
      </c>
      <c r="F25" s="41">
        <f t="shared" ref="F25:F31" si="2">PRODUCT(E25,B25)</f>
        <v>5</v>
      </c>
      <c r="J25" s="57" t="s">
        <v>35</v>
      </c>
      <c r="K25" s="57">
        <v>5</v>
      </c>
      <c r="L25" s="59" t="s">
        <v>25</v>
      </c>
      <c r="M25" s="61">
        <v>25</v>
      </c>
    </row>
    <row r="26" spans="1:13" ht="14.5" customHeight="1" x14ac:dyDescent="0.35">
      <c r="A26" t="s">
        <v>22</v>
      </c>
      <c r="B26">
        <v>1</v>
      </c>
      <c r="C26">
        <v>2.5</v>
      </c>
      <c r="D26" t="s">
        <v>9</v>
      </c>
      <c r="E26" s="47">
        <v>5.32</v>
      </c>
      <c r="F26" s="42">
        <f t="shared" si="2"/>
        <v>5.32</v>
      </c>
      <c r="J26" s="57" t="s">
        <v>36</v>
      </c>
      <c r="K26" s="57">
        <v>4</v>
      </c>
      <c r="L26" s="59" t="s">
        <v>9</v>
      </c>
      <c r="M26" s="61">
        <v>5.32</v>
      </c>
    </row>
    <row r="27" spans="1:13" ht="16" customHeight="1" x14ac:dyDescent="0.35">
      <c r="A27" t="s">
        <v>23</v>
      </c>
      <c r="B27">
        <v>1</v>
      </c>
      <c r="C27">
        <v>2.5</v>
      </c>
      <c r="D27" t="s">
        <v>9</v>
      </c>
      <c r="E27" s="46">
        <v>5</v>
      </c>
      <c r="F27" s="41">
        <f t="shared" si="2"/>
        <v>5</v>
      </c>
      <c r="J27" s="57" t="s">
        <v>37</v>
      </c>
      <c r="K27" s="57">
        <v>5</v>
      </c>
      <c r="L27" s="59" t="s">
        <v>25</v>
      </c>
      <c r="M27" s="61">
        <v>25</v>
      </c>
    </row>
    <row r="28" spans="1:13" ht="14.5" customHeight="1" x14ac:dyDescent="0.35">
      <c r="A28" t="s">
        <v>24</v>
      </c>
      <c r="B28">
        <v>4</v>
      </c>
      <c r="C28">
        <v>1</v>
      </c>
      <c r="D28" t="s">
        <v>25</v>
      </c>
      <c r="E28" s="47">
        <v>5</v>
      </c>
      <c r="F28" s="42">
        <f t="shared" si="2"/>
        <v>20</v>
      </c>
      <c r="J28" s="57" t="s">
        <v>38</v>
      </c>
      <c r="K28" s="57">
        <v>1</v>
      </c>
      <c r="L28" s="59" t="s">
        <v>25</v>
      </c>
      <c r="M28" s="61">
        <v>5</v>
      </c>
    </row>
    <row r="29" spans="1:13" ht="14.5" customHeight="1" x14ac:dyDescent="0.35">
      <c r="A29" t="s">
        <v>26</v>
      </c>
      <c r="B29">
        <v>1</v>
      </c>
      <c r="C29">
        <v>3</v>
      </c>
      <c r="D29" t="s">
        <v>9</v>
      </c>
      <c r="E29" s="46">
        <v>5</v>
      </c>
      <c r="F29" s="41">
        <f t="shared" si="2"/>
        <v>5</v>
      </c>
      <c r="J29" s="57" t="s">
        <v>28</v>
      </c>
      <c r="K29" s="57">
        <v>1</v>
      </c>
      <c r="L29" s="59" t="s">
        <v>25</v>
      </c>
      <c r="M29" s="61">
        <v>5</v>
      </c>
    </row>
    <row r="30" spans="1:13" ht="14.5" customHeight="1" x14ac:dyDescent="0.35">
      <c r="E30" s="47"/>
      <c r="F30" s="42">
        <f t="shared" si="2"/>
        <v>0</v>
      </c>
      <c r="J30" s="57" t="s">
        <v>39</v>
      </c>
      <c r="K30" s="57">
        <v>2</v>
      </c>
      <c r="L30" s="59" t="s">
        <v>25</v>
      </c>
      <c r="M30" s="61">
        <v>0</v>
      </c>
    </row>
    <row r="31" spans="1:13" ht="14.5" customHeight="1" x14ac:dyDescent="0.35">
      <c r="E31" s="46"/>
      <c r="F31" s="41">
        <f t="shared" si="2"/>
        <v>0</v>
      </c>
      <c r="J31" s="57" t="s">
        <v>41</v>
      </c>
      <c r="K31" s="57">
        <v>3</v>
      </c>
      <c r="L31" s="59" t="s">
        <v>9</v>
      </c>
      <c r="M31" s="61">
        <v>5</v>
      </c>
    </row>
    <row r="32" spans="1:13" ht="14.5" customHeight="1" x14ac:dyDescent="0.35">
      <c r="E32" s="47"/>
      <c r="F32" s="42"/>
      <c r="J32" s="57" t="s">
        <v>42</v>
      </c>
      <c r="K32" s="57">
        <v>12</v>
      </c>
      <c r="L32" s="59" t="s">
        <v>9</v>
      </c>
      <c r="M32" s="61">
        <v>5.32</v>
      </c>
    </row>
    <row r="33" spans="1:13" ht="18" x14ac:dyDescent="0.4">
      <c r="A33" s="8"/>
      <c r="B33" s="9" t="s">
        <v>27</v>
      </c>
      <c r="C33" s="8"/>
      <c r="D33" s="8"/>
      <c r="E33" s="8"/>
      <c r="F33" s="8"/>
      <c r="J33" s="57" t="s">
        <v>43</v>
      </c>
      <c r="K33" s="57">
        <v>4.5</v>
      </c>
      <c r="L33" s="59" t="s">
        <v>9</v>
      </c>
      <c r="M33" s="61">
        <v>15</v>
      </c>
    </row>
    <row r="34" spans="1:13" ht="14.5" customHeight="1" x14ac:dyDescent="0.35">
      <c r="A34" t="s">
        <v>1</v>
      </c>
      <c r="B34" t="s">
        <v>2</v>
      </c>
      <c r="C34" t="s">
        <v>3</v>
      </c>
      <c r="D34" t="s">
        <v>8</v>
      </c>
      <c r="E34" s="44" t="s">
        <v>113</v>
      </c>
      <c r="F34" s="45" t="s">
        <v>112</v>
      </c>
      <c r="J34" s="57" t="s">
        <v>44</v>
      </c>
      <c r="K34" s="57">
        <v>2</v>
      </c>
      <c r="L34" s="59" t="s">
        <v>25</v>
      </c>
      <c r="M34" s="61">
        <v>10</v>
      </c>
    </row>
    <row r="35" spans="1:13" ht="14.5" customHeight="1" x14ac:dyDescent="0.35">
      <c r="A35" t="s">
        <v>29</v>
      </c>
      <c r="B35">
        <v>3</v>
      </c>
      <c r="C35">
        <v>1</v>
      </c>
      <c r="D35" t="s">
        <v>25</v>
      </c>
      <c r="E35" s="46">
        <v>5</v>
      </c>
      <c r="F35" s="41">
        <f t="shared" ref="F35:F41" si="3">PRODUCT(E35,B35)</f>
        <v>15</v>
      </c>
      <c r="J35" s="57" t="s">
        <v>45</v>
      </c>
      <c r="K35" s="57">
        <v>2</v>
      </c>
      <c r="L35" s="59" t="s">
        <v>25</v>
      </c>
      <c r="M35" s="61">
        <v>0</v>
      </c>
    </row>
    <row r="36" spans="1:13" ht="14.5" customHeight="1" x14ac:dyDescent="0.35">
      <c r="A36" t="s">
        <v>30</v>
      </c>
      <c r="B36">
        <v>4</v>
      </c>
      <c r="C36">
        <v>500</v>
      </c>
      <c r="D36" t="s">
        <v>12</v>
      </c>
      <c r="E36" s="47">
        <v>5.32</v>
      </c>
      <c r="F36" s="42">
        <f t="shared" si="3"/>
        <v>21.28</v>
      </c>
      <c r="J36" s="57" t="s">
        <v>46</v>
      </c>
      <c r="K36" s="57">
        <v>4</v>
      </c>
      <c r="L36" s="59" t="s">
        <v>25</v>
      </c>
      <c r="M36" s="61">
        <v>0</v>
      </c>
    </row>
    <row r="37" spans="1:13" ht="14.5" customHeight="1" x14ac:dyDescent="0.35">
      <c r="A37" t="s">
        <v>107</v>
      </c>
      <c r="B37">
        <v>2</v>
      </c>
      <c r="C37">
        <v>1</v>
      </c>
      <c r="D37" t="s">
        <v>25</v>
      </c>
      <c r="E37" s="46">
        <v>5</v>
      </c>
      <c r="F37" s="41">
        <f t="shared" si="3"/>
        <v>10</v>
      </c>
      <c r="J37" s="57" t="s">
        <v>47</v>
      </c>
      <c r="K37" s="57">
        <v>5</v>
      </c>
      <c r="L37" s="59" t="s">
        <v>9</v>
      </c>
      <c r="M37" s="61">
        <v>0</v>
      </c>
    </row>
    <row r="38" spans="1:13" x14ac:dyDescent="0.35">
      <c r="A38" t="s">
        <v>31</v>
      </c>
      <c r="B38">
        <v>2</v>
      </c>
      <c r="C38">
        <v>1</v>
      </c>
      <c r="D38" t="s">
        <v>25</v>
      </c>
      <c r="E38" s="47">
        <v>5</v>
      </c>
      <c r="F38" s="42">
        <f t="shared" si="3"/>
        <v>10</v>
      </c>
      <c r="J38" s="57" t="s">
        <v>62</v>
      </c>
      <c r="K38" s="57">
        <v>10</v>
      </c>
      <c r="L38" s="59" t="s">
        <v>9</v>
      </c>
      <c r="M38" s="61">
        <v>10</v>
      </c>
    </row>
    <row r="39" spans="1:13" x14ac:dyDescent="0.35">
      <c r="A39" t="s">
        <v>32</v>
      </c>
      <c r="B39">
        <v>1</v>
      </c>
      <c r="C39">
        <v>1.5</v>
      </c>
      <c r="D39" t="s">
        <v>9</v>
      </c>
      <c r="E39" s="46">
        <v>5</v>
      </c>
      <c r="F39" s="41">
        <f t="shared" si="3"/>
        <v>5</v>
      </c>
      <c r="J39" s="57" t="s">
        <v>57</v>
      </c>
      <c r="K39" s="57">
        <v>2</v>
      </c>
      <c r="L39" s="59" t="s">
        <v>10</v>
      </c>
      <c r="M39" s="61">
        <v>10.64</v>
      </c>
    </row>
    <row r="40" spans="1:13" x14ac:dyDescent="0.35">
      <c r="A40" t="s">
        <v>33</v>
      </c>
      <c r="B40">
        <v>1</v>
      </c>
      <c r="C40">
        <v>400</v>
      </c>
      <c r="D40" t="s">
        <v>12</v>
      </c>
      <c r="E40" s="47"/>
      <c r="F40" s="42">
        <f t="shared" si="3"/>
        <v>1</v>
      </c>
      <c r="J40" s="57" t="s">
        <v>58</v>
      </c>
      <c r="K40" s="57">
        <v>1</v>
      </c>
      <c r="L40" s="59" t="s">
        <v>9</v>
      </c>
      <c r="M40" s="61">
        <v>5</v>
      </c>
    </row>
    <row r="41" spans="1:13" x14ac:dyDescent="0.35">
      <c r="E41" s="46"/>
      <c r="F41" s="41">
        <f t="shared" si="3"/>
        <v>0</v>
      </c>
      <c r="J41" s="57" t="s">
        <v>59</v>
      </c>
      <c r="K41" s="57">
        <v>1</v>
      </c>
      <c r="L41" s="59" t="s">
        <v>9</v>
      </c>
      <c r="M41" s="61">
        <v>10</v>
      </c>
    </row>
    <row r="42" spans="1:13" x14ac:dyDescent="0.35">
      <c r="F42">
        <f>PRODUCT(E42,B42)</f>
        <v>0</v>
      </c>
      <c r="J42" s="57" t="s">
        <v>0</v>
      </c>
      <c r="K42" s="57">
        <v>3.1</v>
      </c>
      <c r="L42" s="59" t="s">
        <v>9</v>
      </c>
      <c r="M42" s="61">
        <v>5</v>
      </c>
    </row>
    <row r="43" spans="1:13" x14ac:dyDescent="0.35">
      <c r="J43" s="57" t="s">
        <v>64</v>
      </c>
      <c r="K43" s="57">
        <v>25</v>
      </c>
      <c r="L43" s="59" t="s">
        <v>9</v>
      </c>
      <c r="M43" s="61">
        <v>5</v>
      </c>
    </row>
    <row r="44" spans="1:13" ht="18" x14ac:dyDescent="0.4">
      <c r="A44" s="11"/>
      <c r="B44" s="12" t="s">
        <v>34</v>
      </c>
      <c r="C44" s="11"/>
      <c r="D44" s="11"/>
      <c r="E44" s="11"/>
      <c r="F44" s="11"/>
      <c r="J44" s="57" t="s">
        <v>65</v>
      </c>
      <c r="K44" s="57">
        <v>2</v>
      </c>
      <c r="L44" s="59" t="s">
        <v>9</v>
      </c>
      <c r="M44" s="61">
        <v>10.32</v>
      </c>
    </row>
    <row r="45" spans="1:13" ht="15.5" x14ac:dyDescent="0.35">
      <c r="A45" t="s">
        <v>1</v>
      </c>
      <c r="B45" t="s">
        <v>2</v>
      </c>
      <c r="C45" t="s">
        <v>3</v>
      </c>
      <c r="D45" t="s">
        <v>8</v>
      </c>
      <c r="E45" s="44" t="s">
        <v>113</v>
      </c>
      <c r="F45" s="45" t="s">
        <v>112</v>
      </c>
      <c r="J45" s="57" t="s">
        <v>66</v>
      </c>
      <c r="K45" s="57">
        <v>1</v>
      </c>
      <c r="L45" s="59" t="s">
        <v>10</v>
      </c>
      <c r="M45" s="61">
        <v>5</v>
      </c>
    </row>
    <row r="46" spans="1:13" x14ac:dyDescent="0.35">
      <c r="A46" t="s">
        <v>35</v>
      </c>
      <c r="B46">
        <v>5</v>
      </c>
      <c r="C46">
        <v>1</v>
      </c>
      <c r="D46" t="s">
        <v>25</v>
      </c>
      <c r="E46" s="46">
        <v>5</v>
      </c>
      <c r="F46" s="41">
        <f t="shared" ref="F46:F52" si="4">PRODUCT(E46,B46)</f>
        <v>25</v>
      </c>
      <c r="J46" s="57" t="s">
        <v>67</v>
      </c>
      <c r="K46" s="57">
        <v>500</v>
      </c>
      <c r="L46" s="59" t="s">
        <v>12</v>
      </c>
      <c r="M46" s="61">
        <v>5</v>
      </c>
    </row>
    <row r="47" spans="1:13" x14ac:dyDescent="0.35">
      <c r="A47" t="s">
        <v>36</v>
      </c>
      <c r="B47">
        <v>1</v>
      </c>
      <c r="C47">
        <v>4</v>
      </c>
      <c r="D47" t="s">
        <v>9</v>
      </c>
      <c r="E47" s="47">
        <v>5.32</v>
      </c>
      <c r="F47" s="42">
        <f t="shared" si="4"/>
        <v>5.32</v>
      </c>
      <c r="J47" s="57" t="s">
        <v>71</v>
      </c>
      <c r="K47" s="57">
        <v>40</v>
      </c>
      <c r="L47" s="59" t="s">
        <v>9</v>
      </c>
      <c r="M47" s="61">
        <v>5</v>
      </c>
    </row>
    <row r="48" spans="1:13" x14ac:dyDescent="0.35">
      <c r="A48" t="s">
        <v>37</v>
      </c>
      <c r="B48">
        <v>5</v>
      </c>
      <c r="C48">
        <v>1</v>
      </c>
      <c r="D48" t="s">
        <v>25</v>
      </c>
      <c r="E48" s="46">
        <v>5</v>
      </c>
      <c r="F48" s="41">
        <f t="shared" si="4"/>
        <v>25</v>
      </c>
      <c r="J48" s="57" t="s">
        <v>72</v>
      </c>
      <c r="K48" s="57">
        <v>2</v>
      </c>
      <c r="L48" s="59" t="s">
        <v>25</v>
      </c>
      <c r="M48" s="61">
        <v>0</v>
      </c>
    </row>
    <row r="49" spans="1:13" x14ac:dyDescent="0.35">
      <c r="A49" t="s">
        <v>38</v>
      </c>
      <c r="B49">
        <v>1</v>
      </c>
      <c r="C49">
        <v>1</v>
      </c>
      <c r="D49" t="s">
        <v>25</v>
      </c>
      <c r="E49" s="47">
        <v>5</v>
      </c>
      <c r="F49" s="42">
        <f t="shared" si="4"/>
        <v>5</v>
      </c>
      <c r="J49" s="57" t="s">
        <v>73</v>
      </c>
      <c r="K49" s="57">
        <v>2</v>
      </c>
      <c r="L49" s="59" t="s">
        <v>25</v>
      </c>
      <c r="M49" s="61">
        <v>0</v>
      </c>
    </row>
    <row r="50" spans="1:13" x14ac:dyDescent="0.35">
      <c r="A50" t="s">
        <v>28</v>
      </c>
      <c r="B50">
        <v>1</v>
      </c>
      <c r="C50">
        <v>1</v>
      </c>
      <c r="D50" t="s">
        <v>25</v>
      </c>
      <c r="E50" s="46">
        <v>5</v>
      </c>
      <c r="F50" s="41">
        <f t="shared" si="4"/>
        <v>5</v>
      </c>
      <c r="J50" s="57" t="s">
        <v>74</v>
      </c>
      <c r="K50" s="57">
        <v>10</v>
      </c>
      <c r="L50" s="59" t="s">
        <v>9</v>
      </c>
      <c r="M50" s="61">
        <v>5</v>
      </c>
    </row>
    <row r="51" spans="1:13" x14ac:dyDescent="0.35">
      <c r="A51" t="s">
        <v>39</v>
      </c>
      <c r="B51">
        <v>2</v>
      </c>
      <c r="C51">
        <v>1</v>
      </c>
      <c r="D51" t="s">
        <v>25</v>
      </c>
      <c r="E51" s="47"/>
      <c r="F51" s="42">
        <f t="shared" si="4"/>
        <v>2</v>
      </c>
      <c r="J51" s="57" t="s">
        <v>75</v>
      </c>
      <c r="K51" s="57">
        <v>100</v>
      </c>
      <c r="L51" s="59" t="s">
        <v>25</v>
      </c>
      <c r="M51" s="61">
        <v>532</v>
      </c>
    </row>
    <row r="52" spans="1:13" x14ac:dyDescent="0.35">
      <c r="E52" s="46"/>
      <c r="F52" s="41">
        <f t="shared" si="4"/>
        <v>0</v>
      </c>
      <c r="J52" s="57" t="s">
        <v>76</v>
      </c>
      <c r="K52" s="57">
        <v>100</v>
      </c>
      <c r="L52" s="59" t="s">
        <v>25</v>
      </c>
      <c r="M52" s="61">
        <v>500</v>
      </c>
    </row>
    <row r="53" spans="1:13" x14ac:dyDescent="0.35">
      <c r="F53">
        <f>PRODUCT(E53,B53)</f>
        <v>0</v>
      </c>
      <c r="J53" s="57" t="s">
        <v>106</v>
      </c>
      <c r="K53" s="57">
        <v>150</v>
      </c>
      <c r="L53" s="59" t="s">
        <v>25</v>
      </c>
      <c r="M53" s="61">
        <v>225</v>
      </c>
    </row>
    <row r="54" spans="1:13" x14ac:dyDescent="0.35">
      <c r="J54" s="57" t="s">
        <v>89</v>
      </c>
      <c r="K54" s="57">
        <v>50</v>
      </c>
      <c r="L54" s="59" t="s">
        <v>10</v>
      </c>
      <c r="M54" s="61">
        <v>532</v>
      </c>
    </row>
    <row r="55" spans="1:13" ht="18" x14ac:dyDescent="0.4">
      <c r="A55" s="13"/>
      <c r="B55" s="14" t="s">
        <v>40</v>
      </c>
      <c r="C55" s="15"/>
      <c r="D55" s="13"/>
      <c r="E55" s="13"/>
      <c r="F55" s="13"/>
      <c r="J55" s="57" t="s">
        <v>88</v>
      </c>
      <c r="K55" s="57">
        <v>100</v>
      </c>
      <c r="L55" s="59" t="s">
        <v>10</v>
      </c>
      <c r="M55" s="61">
        <v>600</v>
      </c>
    </row>
    <row r="56" spans="1:13" ht="15.5" x14ac:dyDescent="0.35">
      <c r="A56" t="s">
        <v>1</v>
      </c>
      <c r="B56" t="s">
        <v>2</v>
      </c>
      <c r="C56" t="s">
        <v>3</v>
      </c>
      <c r="D56" t="s">
        <v>8</v>
      </c>
      <c r="E56" s="44" t="s">
        <v>113</v>
      </c>
      <c r="F56" s="45" t="s">
        <v>112</v>
      </c>
      <c r="J56" s="57" t="s">
        <v>117</v>
      </c>
      <c r="K56" s="57">
        <v>3</v>
      </c>
      <c r="L56" s="59" t="s">
        <v>10</v>
      </c>
      <c r="M56" s="61">
        <v>30</v>
      </c>
    </row>
    <row r="57" spans="1:13" x14ac:dyDescent="0.35">
      <c r="A57" t="s">
        <v>41</v>
      </c>
      <c r="B57">
        <v>1</v>
      </c>
      <c r="C57">
        <v>3</v>
      </c>
      <c r="D57" t="s">
        <v>9</v>
      </c>
      <c r="E57" s="46">
        <v>5</v>
      </c>
      <c r="F57" s="41">
        <f t="shared" ref="F57:F66" si="5">PRODUCT(E57,B57)</f>
        <v>5</v>
      </c>
      <c r="J57" s="57" t="s">
        <v>92</v>
      </c>
      <c r="K57" s="57">
        <v>2</v>
      </c>
      <c r="L57" s="59" t="s">
        <v>25</v>
      </c>
      <c r="M57" s="61">
        <v>10.64</v>
      </c>
    </row>
    <row r="58" spans="1:13" x14ac:dyDescent="0.35">
      <c r="A58" t="s">
        <v>42</v>
      </c>
      <c r="B58">
        <v>1</v>
      </c>
      <c r="C58">
        <v>12</v>
      </c>
      <c r="D58" t="s">
        <v>9</v>
      </c>
      <c r="E58" s="47">
        <v>5.32</v>
      </c>
      <c r="F58" s="42">
        <f t="shared" si="5"/>
        <v>5.32</v>
      </c>
      <c r="J58" s="57" t="s">
        <v>93</v>
      </c>
      <c r="K58" s="57">
        <v>1</v>
      </c>
      <c r="L58" s="59" t="s">
        <v>25</v>
      </c>
      <c r="M58" s="61">
        <v>5</v>
      </c>
    </row>
    <row r="59" spans="1:13" x14ac:dyDescent="0.35">
      <c r="A59" t="s">
        <v>43</v>
      </c>
      <c r="B59">
        <v>1</v>
      </c>
      <c r="C59">
        <v>1.5</v>
      </c>
      <c r="D59" t="s">
        <v>9</v>
      </c>
      <c r="E59" s="46">
        <v>5</v>
      </c>
      <c r="F59" s="41">
        <f t="shared" si="5"/>
        <v>5</v>
      </c>
      <c r="J59" s="57" t="s">
        <v>104</v>
      </c>
      <c r="K59" s="57">
        <v>1</v>
      </c>
      <c r="L59" s="59" t="s">
        <v>10</v>
      </c>
      <c r="M59" s="61">
        <v>5</v>
      </c>
    </row>
    <row r="60" spans="1:13" x14ac:dyDescent="0.35">
      <c r="A60" t="s">
        <v>19</v>
      </c>
      <c r="B60">
        <v>1</v>
      </c>
      <c r="C60">
        <v>3</v>
      </c>
      <c r="D60" t="s">
        <v>9</v>
      </c>
      <c r="E60" s="47">
        <v>5</v>
      </c>
      <c r="F60" s="42">
        <f t="shared" si="5"/>
        <v>5</v>
      </c>
      <c r="J60" s="57" t="s">
        <v>109</v>
      </c>
      <c r="K60" s="57">
        <v>1</v>
      </c>
      <c r="L60" s="59" t="s">
        <v>25</v>
      </c>
      <c r="M60" s="61">
        <v>0</v>
      </c>
    </row>
    <row r="61" spans="1:13" x14ac:dyDescent="0.35">
      <c r="A61" t="s">
        <v>44</v>
      </c>
      <c r="B61">
        <v>2</v>
      </c>
      <c r="C61">
        <v>1</v>
      </c>
      <c r="D61" t="s">
        <v>25</v>
      </c>
      <c r="E61" s="46">
        <v>5</v>
      </c>
      <c r="F61" s="41">
        <f t="shared" si="5"/>
        <v>10</v>
      </c>
      <c r="J61" s="57" t="s">
        <v>110</v>
      </c>
      <c r="K61" s="57">
        <v>1</v>
      </c>
      <c r="L61" s="59" t="s">
        <v>25</v>
      </c>
      <c r="M61" s="61">
        <v>0</v>
      </c>
    </row>
    <row r="62" spans="1:13" x14ac:dyDescent="0.35">
      <c r="A62" t="s">
        <v>45</v>
      </c>
      <c r="B62">
        <v>2</v>
      </c>
      <c r="C62">
        <v>1</v>
      </c>
      <c r="D62" t="s">
        <v>25</v>
      </c>
      <c r="E62" s="47"/>
      <c r="F62" s="42">
        <f t="shared" si="5"/>
        <v>2</v>
      </c>
      <c r="J62" s="57" t="s">
        <v>95</v>
      </c>
      <c r="K62" s="57">
        <v>8</v>
      </c>
      <c r="L62" s="59" t="s">
        <v>25</v>
      </c>
      <c r="M62" s="61">
        <v>0</v>
      </c>
    </row>
    <row r="63" spans="1:13" x14ac:dyDescent="0.35">
      <c r="A63" t="s">
        <v>46</v>
      </c>
      <c r="B63">
        <v>4</v>
      </c>
      <c r="C63">
        <v>1</v>
      </c>
      <c r="D63" t="s">
        <v>25</v>
      </c>
      <c r="E63" s="46"/>
      <c r="F63" s="41">
        <f t="shared" si="5"/>
        <v>4</v>
      </c>
      <c r="J63" s="57" t="s">
        <v>96</v>
      </c>
      <c r="K63" s="57">
        <v>200</v>
      </c>
      <c r="L63" s="59" t="s">
        <v>25</v>
      </c>
      <c r="M63" s="61">
        <v>0</v>
      </c>
    </row>
    <row r="64" spans="1:13" x14ac:dyDescent="0.35">
      <c r="A64" t="s">
        <v>47</v>
      </c>
      <c r="B64">
        <v>1</v>
      </c>
      <c r="C64">
        <v>5</v>
      </c>
      <c r="D64" t="s">
        <v>9</v>
      </c>
      <c r="F64">
        <f t="shared" si="5"/>
        <v>1</v>
      </c>
      <c r="J64" s="57" t="s">
        <v>97</v>
      </c>
      <c r="K64" s="57">
        <v>300</v>
      </c>
      <c r="L64" s="59" t="s">
        <v>25</v>
      </c>
      <c r="M64" s="61">
        <v>0</v>
      </c>
    </row>
    <row r="65" spans="1:13" x14ac:dyDescent="0.35">
      <c r="F65">
        <f t="shared" si="5"/>
        <v>0</v>
      </c>
      <c r="J65" s="57" t="s">
        <v>80</v>
      </c>
      <c r="K65" s="57">
        <v>2</v>
      </c>
      <c r="L65" s="59" t="s">
        <v>9</v>
      </c>
      <c r="M65" s="61">
        <v>5.32</v>
      </c>
    </row>
    <row r="66" spans="1:13" x14ac:dyDescent="0.35">
      <c r="F66">
        <f t="shared" si="5"/>
        <v>0</v>
      </c>
      <c r="J66" s="57" t="s">
        <v>111</v>
      </c>
      <c r="K66" s="57">
        <v>2</v>
      </c>
      <c r="L66" s="59" t="s">
        <v>25</v>
      </c>
      <c r="M66" s="61">
        <v>10</v>
      </c>
    </row>
    <row r="67" spans="1:13" x14ac:dyDescent="0.35">
      <c r="J67" s="57" t="s">
        <v>81</v>
      </c>
      <c r="K67" s="57">
        <v>2</v>
      </c>
      <c r="L67" s="59" t="s">
        <v>9</v>
      </c>
      <c r="M67" s="61">
        <v>5</v>
      </c>
    </row>
    <row r="68" spans="1:13" ht="20.5" customHeight="1" x14ac:dyDescent="0.4">
      <c r="A68" s="16"/>
      <c r="B68" s="17" t="s">
        <v>48</v>
      </c>
      <c r="C68" s="16"/>
      <c r="D68" s="16"/>
      <c r="E68" s="16"/>
      <c r="F68" s="16"/>
      <c r="J68" s="57" t="s">
        <v>82</v>
      </c>
      <c r="K68" s="57">
        <v>3</v>
      </c>
      <c r="L68" s="59" t="s">
        <v>9</v>
      </c>
      <c r="M68" s="61">
        <v>5</v>
      </c>
    </row>
    <row r="69" spans="1:13" ht="15.5" x14ac:dyDescent="0.35">
      <c r="A69" t="s">
        <v>1</v>
      </c>
      <c r="B69" t="s">
        <v>2</v>
      </c>
      <c r="C69" t="s">
        <v>3</v>
      </c>
      <c r="D69" t="s">
        <v>8</v>
      </c>
      <c r="E69" s="44" t="s">
        <v>113</v>
      </c>
      <c r="F69" s="45" t="s">
        <v>112</v>
      </c>
      <c r="J69" s="57" t="s">
        <v>83</v>
      </c>
      <c r="K69" s="57">
        <v>3</v>
      </c>
      <c r="L69" s="59" t="s">
        <v>9</v>
      </c>
      <c r="M69" s="61">
        <v>0</v>
      </c>
    </row>
    <row r="70" spans="1:13" x14ac:dyDescent="0.35">
      <c r="A70" t="s">
        <v>62</v>
      </c>
      <c r="B70">
        <v>1</v>
      </c>
      <c r="C70">
        <v>5</v>
      </c>
      <c r="D70" t="s">
        <v>9</v>
      </c>
      <c r="E70" s="46">
        <v>5</v>
      </c>
      <c r="F70" s="41">
        <f t="shared" ref="F70:F75" si="6">PRODUCT(E70,B70)</f>
        <v>5</v>
      </c>
      <c r="J70" s="57" t="s">
        <v>85</v>
      </c>
      <c r="K70" s="57">
        <v>6</v>
      </c>
      <c r="L70" s="59" t="s">
        <v>25</v>
      </c>
      <c r="M70" s="61">
        <v>0</v>
      </c>
    </row>
    <row r="71" spans="1:13" x14ac:dyDescent="0.35">
      <c r="A71" t="s">
        <v>57</v>
      </c>
      <c r="B71">
        <v>1</v>
      </c>
      <c r="C71">
        <v>1</v>
      </c>
      <c r="D71" t="s">
        <v>10</v>
      </c>
      <c r="E71" s="47">
        <v>5.32</v>
      </c>
      <c r="F71" s="42">
        <f t="shared" si="6"/>
        <v>5.32</v>
      </c>
      <c r="J71"/>
      <c r="K71"/>
      <c r="L71"/>
    </row>
    <row r="72" spans="1:13" x14ac:dyDescent="0.35">
      <c r="A72" t="s">
        <v>58</v>
      </c>
      <c r="B72">
        <v>1</v>
      </c>
      <c r="C72">
        <v>1</v>
      </c>
      <c r="D72" t="s">
        <v>9</v>
      </c>
      <c r="E72" s="46">
        <v>5</v>
      </c>
      <c r="F72" s="41">
        <f t="shared" si="6"/>
        <v>5</v>
      </c>
      <c r="J72"/>
      <c r="K72"/>
      <c r="L72"/>
    </row>
    <row r="73" spans="1:13" x14ac:dyDescent="0.35">
      <c r="A73" t="s">
        <v>59</v>
      </c>
      <c r="B73">
        <v>1</v>
      </c>
      <c r="C73">
        <v>500</v>
      </c>
      <c r="D73" t="s">
        <v>12</v>
      </c>
      <c r="E73" s="47">
        <v>5</v>
      </c>
      <c r="F73" s="42">
        <f t="shared" si="6"/>
        <v>5</v>
      </c>
      <c r="J73"/>
      <c r="K73"/>
      <c r="L73"/>
    </row>
    <row r="74" spans="1:13" x14ac:dyDescent="0.35">
      <c r="E74" s="46">
        <v>5</v>
      </c>
      <c r="F74" s="41">
        <f t="shared" si="6"/>
        <v>5</v>
      </c>
      <c r="J74"/>
      <c r="K74"/>
      <c r="L74"/>
    </row>
    <row r="75" spans="1:13" x14ac:dyDescent="0.35">
      <c r="E75" s="47"/>
      <c r="F75" s="42">
        <f t="shared" si="6"/>
        <v>0</v>
      </c>
      <c r="J75"/>
      <c r="K75"/>
      <c r="L75"/>
    </row>
    <row r="76" spans="1:13" x14ac:dyDescent="0.35">
      <c r="J76"/>
      <c r="K76"/>
      <c r="L76"/>
    </row>
    <row r="77" spans="1:13" ht="18" x14ac:dyDescent="0.4">
      <c r="A77" s="23"/>
      <c r="B77" s="24" t="s">
        <v>61</v>
      </c>
      <c r="C77" s="23"/>
      <c r="D77" s="23"/>
      <c r="E77" s="23"/>
      <c r="F77" s="23"/>
      <c r="J77"/>
      <c r="K77"/>
      <c r="L77"/>
    </row>
    <row r="78" spans="1:13" ht="15.5" x14ac:dyDescent="0.35">
      <c r="A78" t="s">
        <v>1</v>
      </c>
      <c r="B78" s="19" t="s">
        <v>2</v>
      </c>
      <c r="C78" s="19" t="s">
        <v>3</v>
      </c>
      <c r="D78" t="s">
        <v>8</v>
      </c>
      <c r="E78" s="44" t="s">
        <v>113</v>
      </c>
      <c r="F78" s="45" t="s">
        <v>112</v>
      </c>
      <c r="J78"/>
      <c r="K78"/>
      <c r="L78"/>
    </row>
    <row r="79" spans="1:13" x14ac:dyDescent="0.35">
      <c r="A79" t="s">
        <v>62</v>
      </c>
      <c r="B79">
        <v>1</v>
      </c>
      <c r="C79">
        <v>5</v>
      </c>
      <c r="D79" t="s">
        <v>9</v>
      </c>
      <c r="E79" s="46">
        <v>5</v>
      </c>
      <c r="F79" s="41">
        <f t="shared" ref="F79:F86" si="7">PRODUCT(E79,B79)</f>
        <v>5</v>
      </c>
      <c r="J79"/>
      <c r="K79"/>
      <c r="L79"/>
    </row>
    <row r="80" spans="1:13" x14ac:dyDescent="0.35">
      <c r="A80" t="s">
        <v>57</v>
      </c>
      <c r="B80">
        <v>1</v>
      </c>
      <c r="C80">
        <v>1</v>
      </c>
      <c r="D80" t="s">
        <v>10</v>
      </c>
      <c r="E80" s="47">
        <v>5.32</v>
      </c>
      <c r="F80" s="42">
        <f t="shared" si="7"/>
        <v>5.32</v>
      </c>
      <c r="J80"/>
      <c r="K80"/>
      <c r="L80"/>
    </row>
    <row r="81" spans="1:12" x14ac:dyDescent="0.35">
      <c r="A81" t="s">
        <v>43</v>
      </c>
      <c r="B81">
        <v>1</v>
      </c>
      <c r="C81">
        <v>1</v>
      </c>
      <c r="D81" t="s">
        <v>9</v>
      </c>
      <c r="E81" s="46">
        <v>5</v>
      </c>
      <c r="F81" s="41">
        <f t="shared" si="7"/>
        <v>5</v>
      </c>
      <c r="J81"/>
      <c r="K81"/>
      <c r="L81"/>
    </row>
    <row r="82" spans="1:12" x14ac:dyDescent="0.35">
      <c r="A82" t="s">
        <v>19</v>
      </c>
      <c r="B82">
        <v>1</v>
      </c>
      <c r="C82">
        <v>2</v>
      </c>
      <c r="D82" t="s">
        <v>9</v>
      </c>
      <c r="E82" s="47">
        <v>5</v>
      </c>
      <c r="F82" s="42">
        <f t="shared" si="7"/>
        <v>5</v>
      </c>
      <c r="J82"/>
      <c r="K82"/>
      <c r="L82"/>
    </row>
    <row r="83" spans="1:12" x14ac:dyDescent="0.35">
      <c r="A83" t="s">
        <v>0</v>
      </c>
      <c r="B83">
        <v>1</v>
      </c>
      <c r="C83">
        <v>3.1</v>
      </c>
      <c r="D83" t="s">
        <v>9</v>
      </c>
      <c r="E83" s="46">
        <v>5</v>
      </c>
      <c r="F83" s="41">
        <f t="shared" si="7"/>
        <v>5</v>
      </c>
      <c r="J83"/>
      <c r="K83"/>
      <c r="L83"/>
    </row>
    <row r="84" spans="1:12" x14ac:dyDescent="0.35">
      <c r="A84" t="s">
        <v>5</v>
      </c>
      <c r="B84">
        <v>1</v>
      </c>
      <c r="C84">
        <v>500</v>
      </c>
      <c r="D84" t="s">
        <v>12</v>
      </c>
      <c r="E84" s="47"/>
      <c r="F84" s="42">
        <f t="shared" si="7"/>
        <v>1</v>
      </c>
      <c r="J84"/>
      <c r="K84"/>
      <c r="L84"/>
    </row>
    <row r="85" spans="1:12" x14ac:dyDescent="0.35">
      <c r="F85">
        <f t="shared" si="7"/>
        <v>0</v>
      </c>
      <c r="J85"/>
      <c r="K85"/>
      <c r="L85"/>
    </row>
    <row r="86" spans="1:12" x14ac:dyDescent="0.35">
      <c r="F86">
        <f t="shared" si="7"/>
        <v>0</v>
      </c>
      <c r="J86"/>
      <c r="K86"/>
      <c r="L86"/>
    </row>
    <row r="87" spans="1:12" x14ac:dyDescent="0.35">
      <c r="J87"/>
      <c r="K87"/>
      <c r="L87"/>
    </row>
    <row r="88" spans="1:12" ht="18" x14ac:dyDescent="0.4">
      <c r="A88" s="25"/>
      <c r="B88" s="26" t="s">
        <v>63</v>
      </c>
      <c r="C88" s="25"/>
      <c r="D88" s="25"/>
      <c r="E88" s="49"/>
      <c r="F88" s="49"/>
      <c r="J88"/>
      <c r="K88"/>
      <c r="L88"/>
    </row>
    <row r="89" spans="1:12" ht="15.5" x14ac:dyDescent="0.35">
      <c r="A89" t="s">
        <v>1</v>
      </c>
      <c r="B89" s="19" t="s">
        <v>2</v>
      </c>
      <c r="C89" s="19" t="s">
        <v>3</v>
      </c>
      <c r="D89" t="s">
        <v>8</v>
      </c>
      <c r="E89" s="44" t="s">
        <v>113</v>
      </c>
      <c r="F89" s="45" t="s">
        <v>112</v>
      </c>
      <c r="J89"/>
      <c r="K89"/>
      <c r="L89"/>
    </row>
    <row r="90" spans="1:12" x14ac:dyDescent="0.35">
      <c r="A90" t="s">
        <v>64</v>
      </c>
      <c r="B90">
        <v>1</v>
      </c>
      <c r="C90">
        <v>25</v>
      </c>
      <c r="D90" t="s">
        <v>9</v>
      </c>
      <c r="E90" s="46">
        <v>5</v>
      </c>
      <c r="F90" s="41">
        <f t="shared" ref="F90:F96" si="8">PRODUCT(E90,B90)</f>
        <v>5</v>
      </c>
      <c r="J90"/>
      <c r="K90"/>
      <c r="L90"/>
    </row>
    <row r="91" spans="1:12" x14ac:dyDescent="0.35">
      <c r="A91" t="s">
        <v>65</v>
      </c>
      <c r="B91">
        <v>1</v>
      </c>
      <c r="C91">
        <v>1</v>
      </c>
      <c r="D91" t="s">
        <v>9</v>
      </c>
      <c r="E91" s="47">
        <v>5.32</v>
      </c>
      <c r="F91" s="42">
        <f t="shared" si="8"/>
        <v>5.32</v>
      </c>
      <c r="J91"/>
      <c r="K91"/>
      <c r="L91"/>
    </row>
    <row r="92" spans="1:12" x14ac:dyDescent="0.35">
      <c r="A92" t="s">
        <v>59</v>
      </c>
      <c r="B92">
        <v>1</v>
      </c>
      <c r="C92">
        <v>500</v>
      </c>
      <c r="D92" t="s">
        <v>12</v>
      </c>
      <c r="E92" s="46">
        <v>5</v>
      </c>
      <c r="F92" s="41">
        <f t="shared" si="8"/>
        <v>5</v>
      </c>
      <c r="J92"/>
      <c r="K92"/>
      <c r="L92"/>
    </row>
    <row r="93" spans="1:12" x14ac:dyDescent="0.35">
      <c r="A93" t="s">
        <v>66</v>
      </c>
      <c r="B93">
        <v>1</v>
      </c>
      <c r="C93">
        <v>1</v>
      </c>
      <c r="D93" t="s">
        <v>10</v>
      </c>
      <c r="E93" s="47">
        <v>5</v>
      </c>
      <c r="F93" s="42">
        <f t="shared" si="8"/>
        <v>5</v>
      </c>
      <c r="J93"/>
      <c r="K93"/>
      <c r="L93"/>
    </row>
    <row r="94" spans="1:12" x14ac:dyDescent="0.35">
      <c r="A94" t="s">
        <v>67</v>
      </c>
      <c r="B94">
        <v>1</v>
      </c>
      <c r="C94">
        <v>500</v>
      </c>
      <c r="D94" t="s">
        <v>12</v>
      </c>
      <c r="E94" s="46">
        <v>5</v>
      </c>
      <c r="F94" s="41">
        <f t="shared" si="8"/>
        <v>5</v>
      </c>
      <c r="J94"/>
      <c r="K94"/>
      <c r="L94"/>
    </row>
    <row r="95" spans="1:12" x14ac:dyDescent="0.35">
      <c r="E95" s="47"/>
      <c r="F95" s="42">
        <f t="shared" si="8"/>
        <v>0</v>
      </c>
      <c r="J95"/>
      <c r="K95"/>
      <c r="L95"/>
    </row>
    <row r="96" spans="1:12" x14ac:dyDescent="0.35">
      <c r="F96">
        <f t="shared" si="8"/>
        <v>0</v>
      </c>
      <c r="J96"/>
      <c r="K96"/>
      <c r="L96"/>
    </row>
    <row r="97" spans="1:12" x14ac:dyDescent="0.35">
      <c r="J97"/>
      <c r="K97"/>
      <c r="L97"/>
    </row>
    <row r="98" spans="1:12" ht="18" x14ac:dyDescent="0.4">
      <c r="A98" s="50"/>
      <c r="B98" s="51" t="s">
        <v>70</v>
      </c>
      <c r="C98" s="50"/>
      <c r="D98" s="50"/>
      <c r="E98" s="50"/>
      <c r="F98" s="50"/>
      <c r="J98"/>
      <c r="K98"/>
      <c r="L98"/>
    </row>
    <row r="99" spans="1:12" ht="15.5" x14ac:dyDescent="0.35">
      <c r="A99" t="s">
        <v>1</v>
      </c>
      <c r="B99" s="19" t="s">
        <v>2</v>
      </c>
      <c r="C99" s="19" t="s">
        <v>3</v>
      </c>
      <c r="D99" t="s">
        <v>8</v>
      </c>
      <c r="E99" s="44" t="s">
        <v>113</v>
      </c>
      <c r="F99" s="45" t="s">
        <v>112</v>
      </c>
      <c r="J99"/>
      <c r="K99"/>
      <c r="L99"/>
    </row>
    <row r="100" spans="1:12" x14ac:dyDescent="0.35">
      <c r="A100" t="s">
        <v>71</v>
      </c>
      <c r="B100">
        <v>1</v>
      </c>
      <c r="C100">
        <v>40</v>
      </c>
      <c r="D100" t="s">
        <v>9</v>
      </c>
      <c r="E100" s="46">
        <v>5</v>
      </c>
      <c r="F100" s="41">
        <f t="shared" ref="F100:F108" si="9">PRODUCT(E100,B100)</f>
        <v>5</v>
      </c>
      <c r="J100"/>
      <c r="K100"/>
      <c r="L100"/>
    </row>
    <row r="101" spans="1:12" x14ac:dyDescent="0.35">
      <c r="A101" t="s">
        <v>17</v>
      </c>
      <c r="B101">
        <v>1</v>
      </c>
      <c r="C101">
        <v>3</v>
      </c>
      <c r="D101" t="s">
        <v>9</v>
      </c>
      <c r="E101" s="47">
        <v>5.32</v>
      </c>
      <c r="F101" s="42">
        <f t="shared" si="9"/>
        <v>5.32</v>
      </c>
      <c r="J101"/>
      <c r="K101"/>
      <c r="L101"/>
    </row>
    <row r="102" spans="1:12" x14ac:dyDescent="0.35">
      <c r="A102" t="s">
        <v>19</v>
      </c>
      <c r="B102">
        <v>1</v>
      </c>
      <c r="C102">
        <v>4</v>
      </c>
      <c r="D102" t="s">
        <v>9</v>
      </c>
      <c r="E102" s="46">
        <v>5</v>
      </c>
      <c r="F102" s="41">
        <f t="shared" si="9"/>
        <v>5</v>
      </c>
      <c r="J102"/>
      <c r="K102"/>
      <c r="L102"/>
    </row>
    <row r="103" spans="1:12" x14ac:dyDescent="0.35">
      <c r="A103" t="s">
        <v>43</v>
      </c>
      <c r="B103">
        <v>1</v>
      </c>
      <c r="C103">
        <v>2</v>
      </c>
      <c r="D103" t="s">
        <v>9</v>
      </c>
      <c r="E103" s="47">
        <v>5</v>
      </c>
      <c r="F103" s="42">
        <f t="shared" si="9"/>
        <v>5</v>
      </c>
      <c r="J103"/>
      <c r="K103"/>
      <c r="L103"/>
    </row>
    <row r="104" spans="1:12" x14ac:dyDescent="0.35">
      <c r="A104" t="s">
        <v>65</v>
      </c>
      <c r="B104">
        <v>1</v>
      </c>
      <c r="C104">
        <v>1</v>
      </c>
      <c r="D104" t="s">
        <v>9</v>
      </c>
      <c r="E104" s="46">
        <v>5</v>
      </c>
      <c r="F104" s="41">
        <f t="shared" si="9"/>
        <v>5</v>
      </c>
      <c r="J104"/>
      <c r="K104"/>
      <c r="L104"/>
    </row>
    <row r="105" spans="1:12" x14ac:dyDescent="0.35">
      <c r="A105" t="s">
        <v>72</v>
      </c>
      <c r="B105">
        <v>2</v>
      </c>
      <c r="C105">
        <v>1</v>
      </c>
      <c r="D105" t="s">
        <v>25</v>
      </c>
      <c r="E105" s="47"/>
      <c r="F105" s="42">
        <f t="shared" si="9"/>
        <v>2</v>
      </c>
      <c r="J105"/>
      <c r="K105"/>
      <c r="L105"/>
    </row>
    <row r="106" spans="1:12" x14ac:dyDescent="0.35">
      <c r="A106" t="s">
        <v>73</v>
      </c>
      <c r="B106">
        <v>2</v>
      </c>
      <c r="C106">
        <v>1</v>
      </c>
      <c r="D106" t="s">
        <v>25</v>
      </c>
      <c r="F106">
        <f t="shared" si="9"/>
        <v>2</v>
      </c>
      <c r="J106"/>
      <c r="K106"/>
      <c r="L106"/>
    </row>
    <row r="107" spans="1:12" x14ac:dyDescent="0.35">
      <c r="F107">
        <f t="shared" si="9"/>
        <v>0</v>
      </c>
      <c r="J107"/>
      <c r="K107"/>
      <c r="L107"/>
    </row>
    <row r="108" spans="1:12" x14ac:dyDescent="0.35">
      <c r="F108">
        <f t="shared" si="9"/>
        <v>0</v>
      </c>
      <c r="J108"/>
      <c r="K108"/>
      <c r="L108"/>
    </row>
    <row r="109" spans="1:12" x14ac:dyDescent="0.35">
      <c r="J109"/>
      <c r="K109"/>
      <c r="L109"/>
    </row>
    <row r="110" spans="1:12" ht="18" x14ac:dyDescent="0.4">
      <c r="A110" s="29"/>
      <c r="B110" s="30" t="s">
        <v>74</v>
      </c>
      <c r="C110" s="29"/>
      <c r="D110" s="29"/>
      <c r="E110" s="52"/>
      <c r="F110" s="52"/>
      <c r="J110"/>
      <c r="K110"/>
      <c r="L110"/>
    </row>
    <row r="111" spans="1:12" ht="15.5" x14ac:dyDescent="0.35">
      <c r="A111" t="s">
        <v>1</v>
      </c>
      <c r="B111" s="19" t="s">
        <v>2</v>
      </c>
      <c r="C111" s="19" t="s">
        <v>3</v>
      </c>
      <c r="D111" t="s">
        <v>8</v>
      </c>
      <c r="E111" s="44" t="s">
        <v>113</v>
      </c>
      <c r="F111" s="45" t="s">
        <v>112</v>
      </c>
      <c r="J111"/>
      <c r="K111"/>
      <c r="L111"/>
    </row>
    <row r="112" spans="1:12" x14ac:dyDescent="0.35">
      <c r="A112" t="s">
        <v>74</v>
      </c>
      <c r="B112">
        <v>1</v>
      </c>
      <c r="C112">
        <v>10</v>
      </c>
      <c r="D112" t="s">
        <v>9</v>
      </c>
      <c r="E112" s="46">
        <v>5</v>
      </c>
      <c r="F112" s="41">
        <f>PRODUCT(E112,B112)</f>
        <v>5</v>
      </c>
      <c r="J112"/>
      <c r="K112"/>
      <c r="L112"/>
    </row>
    <row r="113" spans="1:12" x14ac:dyDescent="0.35">
      <c r="A113" t="s">
        <v>75</v>
      </c>
      <c r="B113">
        <v>100</v>
      </c>
      <c r="C113">
        <v>1</v>
      </c>
      <c r="D113" t="s">
        <v>25</v>
      </c>
      <c r="E113" s="47">
        <v>5.32</v>
      </c>
      <c r="F113" s="42">
        <f>PRODUCT(E113,B113)</f>
        <v>532</v>
      </c>
      <c r="J113"/>
      <c r="K113"/>
      <c r="L113"/>
    </row>
    <row r="114" spans="1:12" x14ac:dyDescent="0.35">
      <c r="A114" t="s">
        <v>76</v>
      </c>
      <c r="B114">
        <v>100</v>
      </c>
      <c r="C114">
        <v>1</v>
      </c>
      <c r="D114" t="s">
        <v>25</v>
      </c>
      <c r="E114" s="46">
        <v>5</v>
      </c>
      <c r="F114" s="41">
        <f>PRODUCT(E114,B114)</f>
        <v>500</v>
      </c>
      <c r="J114"/>
      <c r="K114"/>
      <c r="L114"/>
    </row>
    <row r="115" spans="1:12" x14ac:dyDescent="0.35">
      <c r="E115" s="47">
        <v>5</v>
      </c>
      <c r="F115" s="42">
        <f>PRODUCT(E115,B115)</f>
        <v>5</v>
      </c>
      <c r="J115"/>
      <c r="K115"/>
      <c r="L115"/>
    </row>
    <row r="116" spans="1:12" x14ac:dyDescent="0.35">
      <c r="E116" s="46">
        <v>5</v>
      </c>
      <c r="F116" s="41">
        <f>PRODUCT(E116,B116)</f>
        <v>5</v>
      </c>
      <c r="J116"/>
      <c r="K116"/>
      <c r="L116"/>
    </row>
    <row r="117" spans="1:12" x14ac:dyDescent="0.35">
      <c r="J117"/>
      <c r="K117"/>
      <c r="L117"/>
    </row>
    <row r="118" spans="1:12" ht="18" x14ac:dyDescent="0.4">
      <c r="A118" s="39"/>
      <c r="B118" s="40" t="s">
        <v>101</v>
      </c>
      <c r="C118" s="39"/>
      <c r="D118" s="39"/>
      <c r="E118" s="53"/>
      <c r="F118" s="53"/>
      <c r="J118"/>
      <c r="K118"/>
      <c r="L118"/>
    </row>
    <row r="119" spans="1:12" ht="15.5" x14ac:dyDescent="0.35">
      <c r="A119" t="s">
        <v>1</v>
      </c>
      <c r="B119" s="19" t="s">
        <v>2</v>
      </c>
      <c r="C119" s="19" t="s">
        <v>3</v>
      </c>
      <c r="D119" t="s">
        <v>8</v>
      </c>
      <c r="E119" s="44" t="s">
        <v>113</v>
      </c>
      <c r="F119" s="45" t="s">
        <v>112</v>
      </c>
      <c r="J119"/>
      <c r="K119"/>
      <c r="L119"/>
    </row>
    <row r="120" spans="1:12" x14ac:dyDescent="0.35">
      <c r="E120" s="46">
        <v>5</v>
      </c>
      <c r="F120" s="41">
        <f t="shared" ref="F120:F129" si="10">PRODUCT(E120,B120)</f>
        <v>5</v>
      </c>
      <c r="J120"/>
      <c r="K120"/>
      <c r="L120"/>
    </row>
    <row r="121" spans="1:12" x14ac:dyDescent="0.35">
      <c r="E121" s="47">
        <v>5.32</v>
      </c>
      <c r="F121" s="42">
        <f t="shared" si="10"/>
        <v>5.32</v>
      </c>
      <c r="J121"/>
      <c r="K121"/>
      <c r="L121"/>
    </row>
    <row r="122" spans="1:12" x14ac:dyDescent="0.35">
      <c r="E122" s="46">
        <v>5</v>
      </c>
      <c r="F122" s="41">
        <f t="shared" si="10"/>
        <v>5</v>
      </c>
      <c r="J122"/>
      <c r="K122"/>
      <c r="L122"/>
    </row>
    <row r="123" spans="1:12" x14ac:dyDescent="0.35">
      <c r="E123" s="47">
        <v>5</v>
      </c>
      <c r="F123" s="42">
        <f t="shared" si="10"/>
        <v>5</v>
      </c>
      <c r="J123"/>
      <c r="K123"/>
      <c r="L123"/>
    </row>
    <row r="124" spans="1:12" x14ac:dyDescent="0.35">
      <c r="E124" s="46">
        <v>5</v>
      </c>
      <c r="F124" s="41">
        <f t="shared" si="10"/>
        <v>5</v>
      </c>
      <c r="J124"/>
      <c r="K124"/>
      <c r="L124"/>
    </row>
    <row r="125" spans="1:12" x14ac:dyDescent="0.35">
      <c r="F125">
        <f t="shared" si="10"/>
        <v>0</v>
      </c>
      <c r="J125"/>
      <c r="K125"/>
      <c r="L125"/>
    </row>
    <row r="126" spans="1:12" x14ac:dyDescent="0.35">
      <c r="F126">
        <f t="shared" si="10"/>
        <v>0</v>
      </c>
      <c r="J126"/>
      <c r="K126"/>
      <c r="L126"/>
    </row>
    <row r="127" spans="1:12" x14ac:dyDescent="0.35">
      <c r="F127">
        <f t="shared" si="10"/>
        <v>0</v>
      </c>
      <c r="J127"/>
      <c r="K127"/>
      <c r="L127"/>
    </row>
    <row r="128" spans="1:12" x14ac:dyDescent="0.35">
      <c r="F128">
        <f t="shared" si="10"/>
        <v>0</v>
      </c>
      <c r="J128"/>
      <c r="K128"/>
      <c r="L128"/>
    </row>
    <row r="129" spans="1:12" x14ac:dyDescent="0.35">
      <c r="F129">
        <f t="shared" si="10"/>
        <v>0</v>
      </c>
      <c r="J129"/>
      <c r="K129"/>
      <c r="L129"/>
    </row>
    <row r="130" spans="1:12" x14ac:dyDescent="0.35">
      <c r="J130"/>
      <c r="K130"/>
      <c r="L130"/>
    </row>
    <row r="131" spans="1:12" ht="18" x14ac:dyDescent="0.4">
      <c r="A131" s="33"/>
      <c r="B131" s="34" t="s">
        <v>87</v>
      </c>
      <c r="C131" s="33"/>
      <c r="D131" s="33"/>
      <c r="E131" s="54"/>
      <c r="F131" s="54"/>
      <c r="J131"/>
      <c r="K131"/>
      <c r="L131"/>
    </row>
    <row r="132" spans="1:12" ht="15.5" x14ac:dyDescent="0.35">
      <c r="A132" t="s">
        <v>100</v>
      </c>
      <c r="B132" s="19" t="s">
        <v>2</v>
      </c>
      <c r="C132" s="19" t="s">
        <v>3</v>
      </c>
      <c r="D132" t="s">
        <v>8</v>
      </c>
      <c r="E132" s="44" t="s">
        <v>113</v>
      </c>
      <c r="F132" s="45" t="s">
        <v>112</v>
      </c>
      <c r="J132"/>
      <c r="K132"/>
      <c r="L132"/>
    </row>
    <row r="133" spans="1:12" x14ac:dyDescent="0.35">
      <c r="A133" t="s">
        <v>106</v>
      </c>
      <c r="B133">
        <v>150</v>
      </c>
      <c r="C133">
        <v>1</v>
      </c>
      <c r="D133" t="s">
        <v>25</v>
      </c>
      <c r="E133" s="46">
        <v>1.5</v>
      </c>
      <c r="F133" s="41">
        <f t="shared" ref="F133:F138" si="11">PRODUCT(E133,B133)</f>
        <v>225</v>
      </c>
      <c r="J133"/>
      <c r="K133"/>
      <c r="L133"/>
    </row>
    <row r="134" spans="1:12" x14ac:dyDescent="0.35">
      <c r="A134" t="s">
        <v>89</v>
      </c>
      <c r="B134">
        <v>100</v>
      </c>
      <c r="C134">
        <v>500</v>
      </c>
      <c r="D134" t="s">
        <v>11</v>
      </c>
      <c r="E134" s="47">
        <v>5.32</v>
      </c>
      <c r="F134" s="42">
        <f t="shared" si="11"/>
        <v>532</v>
      </c>
      <c r="J134"/>
      <c r="K134"/>
      <c r="L134"/>
    </row>
    <row r="135" spans="1:12" x14ac:dyDescent="0.35">
      <c r="A135" t="s">
        <v>88</v>
      </c>
      <c r="B135">
        <v>100</v>
      </c>
      <c r="C135">
        <v>1</v>
      </c>
      <c r="D135" t="s">
        <v>10</v>
      </c>
      <c r="E135" s="46">
        <v>6</v>
      </c>
      <c r="F135" s="41">
        <f t="shared" si="11"/>
        <v>600</v>
      </c>
      <c r="J135"/>
      <c r="K135"/>
      <c r="L135"/>
    </row>
    <row r="136" spans="1:12" x14ac:dyDescent="0.35">
      <c r="E136" s="47">
        <v>5</v>
      </c>
      <c r="F136" s="42">
        <f t="shared" si="11"/>
        <v>5</v>
      </c>
      <c r="J136"/>
      <c r="K136"/>
      <c r="L136"/>
    </row>
    <row r="137" spans="1:12" x14ac:dyDescent="0.35">
      <c r="E137" s="46">
        <v>5</v>
      </c>
      <c r="F137" s="41">
        <f t="shared" si="11"/>
        <v>5</v>
      </c>
      <c r="J137"/>
      <c r="K137"/>
      <c r="L137"/>
    </row>
    <row r="138" spans="1:12" x14ac:dyDescent="0.35">
      <c r="F138">
        <f t="shared" si="11"/>
        <v>0</v>
      </c>
      <c r="J138"/>
      <c r="K138"/>
      <c r="L138"/>
    </row>
    <row r="139" spans="1:12" x14ac:dyDescent="0.35">
      <c r="J139"/>
      <c r="K139"/>
      <c r="L139"/>
    </row>
    <row r="140" spans="1:12" ht="18" x14ac:dyDescent="0.4">
      <c r="A140" s="36"/>
      <c r="B140" s="37" t="s">
        <v>90</v>
      </c>
      <c r="C140" s="36"/>
      <c r="D140" s="36"/>
      <c r="E140" s="55"/>
      <c r="F140" s="55"/>
      <c r="J140"/>
      <c r="K140"/>
      <c r="L140"/>
    </row>
    <row r="141" spans="1:12" ht="15.5" x14ac:dyDescent="0.35">
      <c r="A141" t="s">
        <v>100</v>
      </c>
      <c r="B141" s="19" t="s">
        <v>2</v>
      </c>
      <c r="C141" s="19" t="s">
        <v>3</v>
      </c>
      <c r="D141" t="s">
        <v>8</v>
      </c>
      <c r="E141" s="44" t="s">
        <v>113</v>
      </c>
      <c r="F141" s="45" t="s">
        <v>112</v>
      </c>
      <c r="J141"/>
      <c r="K141"/>
      <c r="L141"/>
    </row>
    <row r="142" spans="1:12" x14ac:dyDescent="0.35">
      <c r="A142" t="s">
        <v>91</v>
      </c>
      <c r="B142">
        <v>6</v>
      </c>
      <c r="C142">
        <v>500</v>
      </c>
      <c r="D142" t="s">
        <v>11</v>
      </c>
      <c r="E142" s="46">
        <v>5</v>
      </c>
      <c r="F142" s="41">
        <f t="shared" ref="F142:F158" si="12">PRODUCT(E142,B142)</f>
        <v>30</v>
      </c>
      <c r="J142"/>
      <c r="K142"/>
      <c r="L142"/>
    </row>
    <row r="143" spans="1:12" x14ac:dyDescent="0.35">
      <c r="A143" t="s">
        <v>92</v>
      </c>
      <c r="B143">
        <v>2</v>
      </c>
      <c r="C143">
        <v>1</v>
      </c>
      <c r="D143" t="s">
        <v>25</v>
      </c>
      <c r="E143" s="47">
        <v>5.32</v>
      </c>
      <c r="F143" s="42">
        <f t="shared" si="12"/>
        <v>10.64</v>
      </c>
      <c r="J143"/>
      <c r="K143"/>
      <c r="L143"/>
    </row>
    <row r="144" spans="1:12" x14ac:dyDescent="0.35">
      <c r="A144" t="s">
        <v>93</v>
      </c>
      <c r="B144">
        <v>1</v>
      </c>
      <c r="C144">
        <v>1</v>
      </c>
      <c r="D144" t="s">
        <v>25</v>
      </c>
      <c r="E144" s="46">
        <v>5</v>
      </c>
      <c r="F144" s="41">
        <f t="shared" si="12"/>
        <v>5</v>
      </c>
      <c r="J144"/>
      <c r="K144"/>
      <c r="L144"/>
    </row>
    <row r="145" spans="1:12" x14ac:dyDescent="0.35">
      <c r="A145" t="s">
        <v>94</v>
      </c>
      <c r="E145" s="47">
        <v>5</v>
      </c>
      <c r="F145" s="42">
        <f t="shared" si="12"/>
        <v>5</v>
      </c>
      <c r="J145"/>
      <c r="K145"/>
      <c r="L145"/>
    </row>
    <row r="146" spans="1:12" x14ac:dyDescent="0.35">
      <c r="A146" t="s">
        <v>104</v>
      </c>
      <c r="B146">
        <v>1</v>
      </c>
      <c r="C146">
        <v>1</v>
      </c>
      <c r="D146" t="s">
        <v>10</v>
      </c>
      <c r="E146" s="46">
        <v>5</v>
      </c>
      <c r="F146" s="41">
        <f t="shared" si="12"/>
        <v>5</v>
      </c>
      <c r="J146"/>
      <c r="K146"/>
      <c r="L146"/>
    </row>
    <row r="147" spans="1:12" x14ac:dyDescent="0.35">
      <c r="A147" t="s">
        <v>105</v>
      </c>
      <c r="F147">
        <f t="shared" si="12"/>
        <v>0</v>
      </c>
      <c r="J147"/>
      <c r="K147"/>
      <c r="L147"/>
    </row>
    <row r="148" spans="1:12" x14ac:dyDescent="0.35">
      <c r="A148" t="s">
        <v>109</v>
      </c>
      <c r="B148">
        <v>1</v>
      </c>
      <c r="C148">
        <v>1</v>
      </c>
      <c r="D148" t="s">
        <v>108</v>
      </c>
      <c r="F148">
        <f t="shared" si="12"/>
        <v>1</v>
      </c>
      <c r="J148"/>
      <c r="K148"/>
      <c r="L148"/>
    </row>
    <row r="149" spans="1:12" x14ac:dyDescent="0.35">
      <c r="A149" t="s">
        <v>110</v>
      </c>
      <c r="B149">
        <v>1</v>
      </c>
      <c r="C149">
        <v>1</v>
      </c>
      <c r="D149" t="s">
        <v>108</v>
      </c>
      <c r="F149">
        <f t="shared" si="12"/>
        <v>1</v>
      </c>
      <c r="J149"/>
      <c r="K149"/>
      <c r="L149"/>
    </row>
    <row r="150" spans="1:12" x14ac:dyDescent="0.35">
      <c r="A150" t="s">
        <v>95</v>
      </c>
      <c r="B150">
        <v>8</v>
      </c>
      <c r="C150">
        <v>1</v>
      </c>
      <c r="D150" t="s">
        <v>25</v>
      </c>
      <c r="F150">
        <f t="shared" si="12"/>
        <v>8</v>
      </c>
      <c r="J150"/>
      <c r="K150"/>
      <c r="L150"/>
    </row>
    <row r="151" spans="1:12" x14ac:dyDescent="0.35">
      <c r="A151" t="s">
        <v>96</v>
      </c>
      <c r="B151">
        <v>200</v>
      </c>
      <c r="C151">
        <v>1</v>
      </c>
      <c r="D151" t="s">
        <v>25</v>
      </c>
      <c r="F151">
        <f t="shared" si="12"/>
        <v>200</v>
      </c>
      <c r="J151"/>
      <c r="K151"/>
      <c r="L151"/>
    </row>
    <row r="152" spans="1:12" x14ac:dyDescent="0.35">
      <c r="A152" t="s">
        <v>97</v>
      </c>
      <c r="B152">
        <v>300</v>
      </c>
      <c r="C152">
        <v>1</v>
      </c>
      <c r="D152" t="s">
        <v>25</v>
      </c>
      <c r="F152">
        <f t="shared" si="12"/>
        <v>300</v>
      </c>
      <c r="J152"/>
      <c r="K152"/>
      <c r="L152"/>
    </row>
    <row r="153" spans="1:12" x14ac:dyDescent="0.35">
      <c r="F153">
        <f t="shared" si="12"/>
        <v>0</v>
      </c>
      <c r="J153"/>
      <c r="K153"/>
      <c r="L153"/>
    </row>
    <row r="154" spans="1:12" x14ac:dyDescent="0.35">
      <c r="F154">
        <f t="shared" si="12"/>
        <v>0</v>
      </c>
      <c r="J154"/>
      <c r="K154"/>
      <c r="L154"/>
    </row>
    <row r="155" spans="1:12" x14ac:dyDescent="0.35">
      <c r="F155">
        <f t="shared" si="12"/>
        <v>0</v>
      </c>
      <c r="J155"/>
      <c r="K155"/>
      <c r="L155"/>
    </row>
    <row r="156" spans="1:12" x14ac:dyDescent="0.35">
      <c r="F156">
        <f t="shared" si="12"/>
        <v>0</v>
      </c>
      <c r="J156"/>
      <c r="K156"/>
      <c r="L156"/>
    </row>
    <row r="157" spans="1:12" x14ac:dyDescent="0.35">
      <c r="F157">
        <f t="shared" si="12"/>
        <v>0</v>
      </c>
      <c r="J157"/>
      <c r="K157"/>
      <c r="L157"/>
    </row>
    <row r="158" spans="1:12" x14ac:dyDescent="0.35">
      <c r="F158">
        <f t="shared" si="12"/>
        <v>0</v>
      </c>
      <c r="J158"/>
      <c r="K158"/>
      <c r="L158"/>
    </row>
    <row r="159" spans="1:12" x14ac:dyDescent="0.35">
      <c r="J159"/>
      <c r="K159"/>
      <c r="L159"/>
    </row>
    <row r="160" spans="1:12" ht="18" x14ac:dyDescent="0.4">
      <c r="A160" s="31"/>
      <c r="B160" s="32" t="s">
        <v>79</v>
      </c>
      <c r="C160" s="31"/>
      <c r="D160" s="31"/>
      <c r="E160" s="56"/>
      <c r="F160" s="56"/>
      <c r="J160"/>
      <c r="K160"/>
      <c r="L160"/>
    </row>
    <row r="161" spans="1:12" ht="15.5" x14ac:dyDescent="0.35">
      <c r="A161" t="s">
        <v>1</v>
      </c>
      <c r="B161" s="19" t="s">
        <v>2</v>
      </c>
      <c r="C161" s="19" t="s">
        <v>3</v>
      </c>
      <c r="D161" t="s">
        <v>8</v>
      </c>
      <c r="E161" s="44" t="s">
        <v>113</v>
      </c>
      <c r="F161" s="45" t="s">
        <v>112</v>
      </c>
      <c r="J161"/>
      <c r="K161"/>
      <c r="L161"/>
    </row>
    <row r="162" spans="1:12" x14ac:dyDescent="0.35">
      <c r="A162" t="s">
        <v>30</v>
      </c>
      <c r="B162">
        <v>1</v>
      </c>
      <c r="C162">
        <v>2</v>
      </c>
      <c r="D162" t="s">
        <v>9</v>
      </c>
      <c r="E162" s="46">
        <v>5</v>
      </c>
      <c r="F162" s="41">
        <f t="shared" ref="F162:F185" si="13">PRODUCT(E162,B162)</f>
        <v>5</v>
      </c>
      <c r="J162"/>
      <c r="K162"/>
      <c r="L162"/>
    </row>
    <row r="163" spans="1:12" x14ac:dyDescent="0.35">
      <c r="A163" t="s">
        <v>80</v>
      </c>
      <c r="B163">
        <v>1</v>
      </c>
      <c r="C163">
        <v>2</v>
      </c>
      <c r="D163" t="s">
        <v>9</v>
      </c>
      <c r="E163" s="47">
        <v>5.32</v>
      </c>
      <c r="F163" s="42">
        <f t="shared" si="13"/>
        <v>5.32</v>
      </c>
      <c r="J163"/>
      <c r="K163"/>
      <c r="L163"/>
    </row>
    <row r="164" spans="1:12" x14ac:dyDescent="0.35">
      <c r="A164" t="s">
        <v>111</v>
      </c>
      <c r="B164">
        <v>2</v>
      </c>
      <c r="C164">
        <v>1</v>
      </c>
      <c r="D164" t="s">
        <v>25</v>
      </c>
      <c r="E164" s="46">
        <v>5</v>
      </c>
      <c r="F164" s="41">
        <f t="shared" si="13"/>
        <v>10</v>
      </c>
      <c r="J164"/>
      <c r="K164"/>
      <c r="L164"/>
    </row>
    <row r="165" spans="1:12" x14ac:dyDescent="0.35">
      <c r="A165" t="s">
        <v>81</v>
      </c>
      <c r="B165">
        <v>1</v>
      </c>
      <c r="C165">
        <v>2</v>
      </c>
      <c r="D165" t="s">
        <v>9</v>
      </c>
      <c r="E165" s="47">
        <v>5</v>
      </c>
      <c r="F165" s="42">
        <f t="shared" si="13"/>
        <v>5</v>
      </c>
      <c r="J165"/>
      <c r="K165"/>
      <c r="L165"/>
    </row>
    <row r="166" spans="1:12" x14ac:dyDescent="0.35">
      <c r="A166" t="s">
        <v>82</v>
      </c>
      <c r="B166">
        <v>1</v>
      </c>
      <c r="C166">
        <v>3</v>
      </c>
      <c r="D166" t="s">
        <v>9</v>
      </c>
      <c r="E166" s="46">
        <v>5</v>
      </c>
      <c r="F166" s="41">
        <f t="shared" si="13"/>
        <v>5</v>
      </c>
      <c r="J166"/>
      <c r="K166"/>
      <c r="L166"/>
    </row>
    <row r="167" spans="1:12" x14ac:dyDescent="0.35">
      <c r="A167" t="s">
        <v>83</v>
      </c>
      <c r="B167">
        <v>1</v>
      </c>
      <c r="C167">
        <v>3</v>
      </c>
      <c r="D167" t="s">
        <v>9</v>
      </c>
      <c r="F167">
        <f t="shared" si="13"/>
        <v>1</v>
      </c>
      <c r="J167"/>
      <c r="K167"/>
      <c r="L167"/>
    </row>
    <row r="168" spans="1:12" x14ac:dyDescent="0.35">
      <c r="A168" t="s">
        <v>84</v>
      </c>
      <c r="B168">
        <v>1</v>
      </c>
      <c r="F168">
        <f t="shared" si="13"/>
        <v>1</v>
      </c>
      <c r="J168"/>
      <c r="K168"/>
      <c r="L168"/>
    </row>
    <row r="169" spans="1:12" x14ac:dyDescent="0.35">
      <c r="A169" t="s">
        <v>85</v>
      </c>
      <c r="B169">
        <v>6</v>
      </c>
      <c r="C169">
        <v>1</v>
      </c>
      <c r="D169" t="s">
        <v>25</v>
      </c>
      <c r="F169">
        <f t="shared" si="13"/>
        <v>6</v>
      </c>
      <c r="J169"/>
      <c r="K169"/>
      <c r="L169"/>
    </row>
    <row r="170" spans="1:12" x14ac:dyDescent="0.35">
      <c r="F170">
        <f t="shared" si="13"/>
        <v>0</v>
      </c>
      <c r="J170"/>
      <c r="K170"/>
      <c r="L170"/>
    </row>
    <row r="171" spans="1:12" x14ac:dyDescent="0.35">
      <c r="F171">
        <f t="shared" si="13"/>
        <v>0</v>
      </c>
      <c r="J171"/>
      <c r="K171"/>
      <c r="L171"/>
    </row>
    <row r="172" spans="1:12" x14ac:dyDescent="0.35">
      <c r="F172">
        <f t="shared" si="13"/>
        <v>0</v>
      </c>
      <c r="J172"/>
      <c r="K172"/>
      <c r="L172"/>
    </row>
    <row r="173" spans="1:12" x14ac:dyDescent="0.35">
      <c r="F173">
        <f t="shared" si="13"/>
        <v>0</v>
      </c>
      <c r="J173"/>
      <c r="K173"/>
      <c r="L173"/>
    </row>
    <row r="174" spans="1:12" x14ac:dyDescent="0.35">
      <c r="F174">
        <f t="shared" si="13"/>
        <v>0</v>
      </c>
      <c r="J174"/>
      <c r="K174"/>
      <c r="L174"/>
    </row>
    <row r="175" spans="1:12" x14ac:dyDescent="0.35">
      <c r="F175">
        <f t="shared" si="13"/>
        <v>0</v>
      </c>
      <c r="J175"/>
      <c r="K175"/>
      <c r="L175"/>
    </row>
    <row r="176" spans="1:12" x14ac:dyDescent="0.35">
      <c r="F176">
        <f t="shared" si="13"/>
        <v>0</v>
      </c>
      <c r="J176"/>
      <c r="K176"/>
      <c r="L176"/>
    </row>
    <row r="177" spans="6:12" x14ac:dyDescent="0.35">
      <c r="F177">
        <f t="shared" si="13"/>
        <v>0</v>
      </c>
      <c r="J177"/>
      <c r="K177"/>
      <c r="L177"/>
    </row>
    <row r="178" spans="6:12" x14ac:dyDescent="0.35">
      <c r="F178">
        <f t="shared" si="13"/>
        <v>0</v>
      </c>
      <c r="J178"/>
      <c r="K178"/>
      <c r="L178"/>
    </row>
    <row r="179" spans="6:12" x14ac:dyDescent="0.35">
      <c r="F179">
        <f t="shared" si="13"/>
        <v>0</v>
      </c>
      <c r="J179"/>
      <c r="K179"/>
      <c r="L179"/>
    </row>
    <row r="180" spans="6:12" x14ac:dyDescent="0.35">
      <c r="F180">
        <f t="shared" si="13"/>
        <v>0</v>
      </c>
      <c r="J180"/>
      <c r="K180"/>
      <c r="L180"/>
    </row>
    <row r="181" spans="6:12" x14ac:dyDescent="0.35">
      <c r="F181">
        <f t="shared" si="13"/>
        <v>0</v>
      </c>
      <c r="J181"/>
      <c r="K181"/>
      <c r="L181"/>
    </row>
    <row r="182" spans="6:12" x14ac:dyDescent="0.35">
      <c r="F182">
        <f t="shared" si="13"/>
        <v>0</v>
      </c>
      <c r="J182"/>
      <c r="K182"/>
      <c r="L182"/>
    </row>
    <row r="183" spans="6:12" x14ac:dyDescent="0.35">
      <c r="F183">
        <f t="shared" si="13"/>
        <v>0</v>
      </c>
      <c r="J183"/>
      <c r="K183"/>
      <c r="L183"/>
    </row>
    <row r="184" spans="6:12" x14ac:dyDescent="0.35">
      <c r="F184">
        <f t="shared" si="13"/>
        <v>0</v>
      </c>
      <c r="J184"/>
      <c r="K184"/>
      <c r="L184"/>
    </row>
    <row r="185" spans="6:12" x14ac:dyDescent="0.35">
      <c r="F185">
        <f t="shared" si="13"/>
        <v>0</v>
      </c>
      <c r="J185"/>
      <c r="K185"/>
      <c r="L185"/>
    </row>
  </sheetData>
  <sheetProtection formatCells="0"/>
  <mergeCells count="2">
    <mergeCell ref="C1:D1"/>
    <mergeCell ref="J2:M2"/>
  </mergeCells>
  <phoneticPr fontId="10" type="noConversion"/>
  <printOptions horizontalCentered="1" verticalCentered="1"/>
  <pageMargins left="0.7" right="0.7" top="0.75" bottom="0.75" header="0.3" footer="0.3"/>
  <pageSetup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53" r:id="rId4" name="CheckBox14">
          <controlPr defaultSize="0" autoLine="0" r:id="rId5">
            <anchor moveWithCells="1">
              <from>
                <xdr:col>4</xdr:col>
                <xdr:colOff>177800</xdr:colOff>
                <xdr:row>0</xdr:row>
                <xdr:rowOff>444500</xdr:rowOff>
              </from>
              <to>
                <xdr:col>4</xdr:col>
                <xdr:colOff>2222500</xdr:colOff>
                <xdr:row>0</xdr:row>
                <xdr:rowOff>774700</xdr:rowOff>
              </to>
            </anchor>
          </controlPr>
        </control>
      </mc:Choice>
      <mc:Fallback>
        <control shapeId="1053" r:id="rId4" name="CheckBox14"/>
      </mc:Fallback>
    </mc:AlternateContent>
    <mc:AlternateContent xmlns:mc="http://schemas.openxmlformats.org/markup-compatibility/2006">
      <mc:Choice Requires="x14">
        <control shapeId="1052" r:id="rId6" name="CheckBox13">
          <controlPr defaultSize="0" autoLine="0" r:id="rId7">
            <anchor moveWithCells="1">
              <from>
                <xdr:col>4</xdr:col>
                <xdr:colOff>177800</xdr:colOff>
                <xdr:row>0</xdr:row>
                <xdr:rowOff>25400</xdr:rowOff>
              </from>
              <to>
                <xdr:col>4</xdr:col>
                <xdr:colOff>1511300</xdr:colOff>
                <xdr:row>0</xdr:row>
                <xdr:rowOff>330200</xdr:rowOff>
              </to>
            </anchor>
          </controlPr>
        </control>
      </mc:Choice>
      <mc:Fallback>
        <control shapeId="1052" r:id="rId6" name="CheckBox13"/>
      </mc:Fallback>
    </mc:AlternateContent>
    <mc:AlternateContent xmlns:mc="http://schemas.openxmlformats.org/markup-compatibility/2006">
      <mc:Choice Requires="x14">
        <control shapeId="1051" r:id="rId8" name="CheckBox12">
          <controlPr defaultSize="0" autoLine="0" r:id="rId9">
            <anchor moveWithCells="1">
              <from>
                <xdr:col>2</xdr:col>
                <xdr:colOff>215900</xdr:colOff>
                <xdr:row>0</xdr:row>
                <xdr:rowOff>2298700</xdr:rowOff>
              </from>
              <to>
                <xdr:col>3</xdr:col>
                <xdr:colOff>279400</xdr:colOff>
                <xdr:row>0</xdr:row>
                <xdr:rowOff>2578100</xdr:rowOff>
              </to>
            </anchor>
          </controlPr>
        </control>
      </mc:Choice>
      <mc:Fallback>
        <control shapeId="1051" r:id="rId8" name="CheckBox12"/>
      </mc:Fallback>
    </mc:AlternateContent>
    <mc:AlternateContent xmlns:mc="http://schemas.openxmlformats.org/markup-compatibility/2006">
      <mc:Choice Requires="x14">
        <control shapeId="1044" r:id="rId10" name="btnBuscar">
          <controlPr defaultSize="0" autoLine="0" r:id="rId11">
            <anchor moveWithCells="1">
              <from>
                <xdr:col>1</xdr:col>
                <xdr:colOff>50800</xdr:colOff>
                <xdr:row>0</xdr:row>
                <xdr:rowOff>1739900</xdr:rowOff>
              </from>
              <to>
                <xdr:col>1</xdr:col>
                <xdr:colOff>1028700</xdr:colOff>
                <xdr:row>0</xdr:row>
                <xdr:rowOff>2095500</xdr:rowOff>
              </to>
            </anchor>
          </controlPr>
        </control>
      </mc:Choice>
      <mc:Fallback>
        <control shapeId="1044" r:id="rId10" name="btnBuscar"/>
      </mc:Fallback>
    </mc:AlternateContent>
    <mc:AlternateContent xmlns:mc="http://schemas.openxmlformats.org/markup-compatibility/2006">
      <mc:Choice Requires="x14">
        <control shapeId="1043" r:id="rId12" name="txtPesquisa">
          <controlPr defaultSize="0" autoLine="0" autoPict="0" r:id="rId13">
            <anchor moveWithCells="1">
              <from>
                <xdr:col>1</xdr:col>
                <xdr:colOff>25400</xdr:colOff>
                <xdr:row>0</xdr:row>
                <xdr:rowOff>1250950</xdr:rowOff>
              </from>
              <to>
                <xdr:col>1</xdr:col>
                <xdr:colOff>1066800</xdr:colOff>
                <xdr:row>0</xdr:row>
                <xdr:rowOff>1524000</xdr:rowOff>
              </to>
            </anchor>
          </controlPr>
        </control>
      </mc:Choice>
      <mc:Fallback>
        <control shapeId="1043" r:id="rId12" name="txtPesquisa"/>
      </mc:Fallback>
    </mc:AlternateContent>
    <mc:AlternateContent xmlns:mc="http://schemas.openxmlformats.org/markup-compatibility/2006">
      <mc:Choice Requires="x14">
        <control shapeId="1030" r:id="rId14" name="CheckBox6">
          <controlPr defaultSize="0" autoLine="0" r:id="rId15">
            <anchor moveWithCells="1">
              <from>
                <xdr:col>0</xdr:col>
                <xdr:colOff>184150</xdr:colOff>
                <xdr:row>0</xdr:row>
                <xdr:rowOff>2273300</xdr:rowOff>
              </from>
              <to>
                <xdr:col>0</xdr:col>
                <xdr:colOff>2114550</xdr:colOff>
                <xdr:row>0</xdr:row>
                <xdr:rowOff>2616200</xdr:rowOff>
              </to>
            </anchor>
          </controlPr>
        </control>
      </mc:Choice>
      <mc:Fallback>
        <control shapeId="1030" r:id="rId14" name="CheckBox6"/>
      </mc:Fallback>
    </mc:AlternateContent>
    <mc:AlternateContent xmlns:mc="http://schemas.openxmlformats.org/markup-compatibility/2006">
      <mc:Choice Requires="x14">
        <control shapeId="1029" r:id="rId16" name="CheckBox5">
          <controlPr defaultSize="0" autoLine="0" r:id="rId17">
            <anchor moveWithCells="1">
              <from>
                <xdr:col>0</xdr:col>
                <xdr:colOff>184150</xdr:colOff>
                <xdr:row>0</xdr:row>
                <xdr:rowOff>1892300</xdr:rowOff>
              </from>
              <to>
                <xdr:col>0</xdr:col>
                <xdr:colOff>1924050</xdr:colOff>
                <xdr:row>0</xdr:row>
                <xdr:rowOff>2101850</xdr:rowOff>
              </to>
            </anchor>
          </controlPr>
        </control>
      </mc:Choice>
      <mc:Fallback>
        <control shapeId="1029" r:id="rId16" name="CheckBox5"/>
      </mc:Fallback>
    </mc:AlternateContent>
    <mc:AlternateContent xmlns:mc="http://schemas.openxmlformats.org/markup-compatibility/2006">
      <mc:Choice Requires="x14">
        <control shapeId="1028" r:id="rId18" name="CheckBox4">
          <controlPr defaultSize="0" autoLine="0" r:id="rId19">
            <anchor moveWithCells="1">
              <from>
                <xdr:col>0</xdr:col>
                <xdr:colOff>184150</xdr:colOff>
                <xdr:row>0</xdr:row>
                <xdr:rowOff>1397000</xdr:rowOff>
              </from>
              <to>
                <xdr:col>0</xdr:col>
                <xdr:colOff>1612900</xdr:colOff>
                <xdr:row>0</xdr:row>
                <xdr:rowOff>1644650</xdr:rowOff>
              </to>
            </anchor>
          </controlPr>
        </control>
      </mc:Choice>
      <mc:Fallback>
        <control shapeId="1028" r:id="rId18" name="CheckBox4"/>
      </mc:Fallback>
    </mc:AlternateContent>
    <mc:AlternateContent xmlns:mc="http://schemas.openxmlformats.org/markup-compatibility/2006">
      <mc:Choice Requires="x14">
        <control shapeId="1027" r:id="rId20" name="CheckBox3">
          <controlPr defaultSize="0" autoLine="0" r:id="rId21">
            <anchor moveWithCells="1">
              <from>
                <xdr:col>0</xdr:col>
                <xdr:colOff>184150</xdr:colOff>
                <xdr:row>0</xdr:row>
                <xdr:rowOff>958850</xdr:rowOff>
              </from>
              <to>
                <xdr:col>0</xdr:col>
                <xdr:colOff>1638300</xdr:colOff>
                <xdr:row>0</xdr:row>
                <xdr:rowOff>1187450</xdr:rowOff>
              </to>
            </anchor>
          </controlPr>
        </control>
      </mc:Choice>
      <mc:Fallback>
        <control shapeId="1027" r:id="rId20" name="CheckBox3"/>
      </mc:Fallback>
    </mc:AlternateContent>
    <mc:AlternateContent xmlns:mc="http://schemas.openxmlformats.org/markup-compatibility/2006">
      <mc:Choice Requires="x14">
        <control shapeId="1026" r:id="rId22" name="CheckBox2">
          <controlPr defaultSize="0" autoLine="0" r:id="rId23">
            <anchor moveWithCells="1">
              <from>
                <xdr:col>0</xdr:col>
                <xdr:colOff>184150</xdr:colOff>
                <xdr:row>0</xdr:row>
                <xdr:rowOff>488950</xdr:rowOff>
              </from>
              <to>
                <xdr:col>0</xdr:col>
                <xdr:colOff>1860550</xdr:colOff>
                <xdr:row>0</xdr:row>
                <xdr:rowOff>730250</xdr:rowOff>
              </to>
            </anchor>
          </controlPr>
        </control>
      </mc:Choice>
      <mc:Fallback>
        <control shapeId="1026" r:id="rId22" name="CheckBox2"/>
      </mc:Fallback>
    </mc:AlternateContent>
    <mc:AlternateContent xmlns:mc="http://schemas.openxmlformats.org/markup-compatibility/2006">
      <mc:Choice Requires="x14">
        <control shapeId="1025" r:id="rId24" name="CheckBox1">
          <controlPr defaultSize="0" autoLine="0" r:id="rId25">
            <anchor moveWithCells="1">
              <from>
                <xdr:col>0</xdr:col>
                <xdr:colOff>184150</xdr:colOff>
                <xdr:row>0</xdr:row>
                <xdr:rowOff>44450</xdr:rowOff>
              </from>
              <to>
                <xdr:col>0</xdr:col>
                <xdr:colOff>1739900</xdr:colOff>
                <xdr:row>0</xdr:row>
                <xdr:rowOff>298450</xdr:rowOff>
              </to>
            </anchor>
          </controlPr>
        </control>
      </mc:Choice>
      <mc:Fallback>
        <control shapeId="1025" r:id="rId24" name="CheckBox1"/>
      </mc:Fallback>
    </mc:AlternateContent>
    <mc:AlternateContent xmlns:mc="http://schemas.openxmlformats.org/markup-compatibility/2006">
      <mc:Choice Requires="x14">
        <control shapeId="1046" r:id="rId26" name="CheckBox7">
          <controlPr defaultSize="0" autoLine="0" r:id="rId27">
            <anchor moveWithCells="1">
              <from>
                <xdr:col>2</xdr:col>
                <xdr:colOff>215900</xdr:colOff>
                <xdr:row>0</xdr:row>
                <xdr:rowOff>63500</xdr:rowOff>
              </from>
              <to>
                <xdr:col>3</xdr:col>
                <xdr:colOff>628650</xdr:colOff>
                <xdr:row>0</xdr:row>
                <xdr:rowOff>285750</xdr:rowOff>
              </to>
            </anchor>
          </controlPr>
        </control>
      </mc:Choice>
      <mc:Fallback>
        <control shapeId="1046" r:id="rId26" name="CheckBox7"/>
      </mc:Fallback>
    </mc:AlternateContent>
    <mc:AlternateContent xmlns:mc="http://schemas.openxmlformats.org/markup-compatibility/2006">
      <mc:Choice Requires="x14">
        <control shapeId="1047" r:id="rId28" name="CheckBox8">
          <controlPr defaultSize="0" autoLine="0" r:id="rId29">
            <anchor moveWithCells="1">
              <from>
                <xdr:col>2</xdr:col>
                <xdr:colOff>215900</xdr:colOff>
                <xdr:row>0</xdr:row>
                <xdr:rowOff>425450</xdr:rowOff>
              </from>
              <to>
                <xdr:col>3</xdr:col>
                <xdr:colOff>920750</xdr:colOff>
                <xdr:row>0</xdr:row>
                <xdr:rowOff>787400</xdr:rowOff>
              </to>
            </anchor>
          </controlPr>
        </control>
      </mc:Choice>
      <mc:Fallback>
        <control shapeId="1047" r:id="rId28" name="CheckBox8"/>
      </mc:Fallback>
    </mc:AlternateContent>
    <mc:AlternateContent xmlns:mc="http://schemas.openxmlformats.org/markup-compatibility/2006">
      <mc:Choice Requires="x14">
        <control shapeId="1048" r:id="rId30" name="CheckBox9">
          <controlPr defaultSize="0" autoFill="0" autoLine="0" r:id="rId31">
            <anchor moveWithCells="1">
              <from>
                <xdr:col>2</xdr:col>
                <xdr:colOff>215900</xdr:colOff>
                <xdr:row>0</xdr:row>
                <xdr:rowOff>889000</xdr:rowOff>
              </from>
              <to>
                <xdr:col>3</xdr:col>
                <xdr:colOff>819150</xdr:colOff>
                <xdr:row>0</xdr:row>
                <xdr:rowOff>1250950</xdr:rowOff>
              </to>
            </anchor>
          </controlPr>
        </control>
      </mc:Choice>
      <mc:Fallback>
        <control shapeId="1048" r:id="rId30" name="CheckBox9"/>
      </mc:Fallback>
    </mc:AlternateContent>
    <mc:AlternateContent xmlns:mc="http://schemas.openxmlformats.org/markup-compatibility/2006">
      <mc:Choice Requires="x14">
        <control shapeId="1049" r:id="rId32" name="CheckBox10">
          <controlPr defaultSize="0" autoLine="0" r:id="rId33">
            <anchor moveWithCells="1">
              <from>
                <xdr:col>2</xdr:col>
                <xdr:colOff>215900</xdr:colOff>
                <xdr:row>0</xdr:row>
                <xdr:rowOff>1320800</xdr:rowOff>
              </from>
              <to>
                <xdr:col>3</xdr:col>
                <xdr:colOff>641350</xdr:colOff>
                <xdr:row>0</xdr:row>
                <xdr:rowOff>1720850</xdr:rowOff>
              </to>
            </anchor>
          </controlPr>
        </control>
      </mc:Choice>
      <mc:Fallback>
        <control shapeId="1049" r:id="rId32" name="CheckBox10"/>
      </mc:Fallback>
    </mc:AlternateContent>
    <mc:AlternateContent xmlns:mc="http://schemas.openxmlformats.org/markup-compatibility/2006">
      <mc:Choice Requires="x14">
        <control shapeId="1050" r:id="rId34" name="CheckBox11">
          <controlPr defaultSize="0" autoLine="0" r:id="rId35">
            <anchor moveWithCells="1">
              <from>
                <xdr:col>2</xdr:col>
                <xdr:colOff>215900</xdr:colOff>
                <xdr:row>0</xdr:row>
                <xdr:rowOff>1822450</xdr:rowOff>
              </from>
              <to>
                <xdr:col>3</xdr:col>
                <xdr:colOff>501650</xdr:colOff>
                <xdr:row>0</xdr:row>
                <xdr:rowOff>2159000</xdr:rowOff>
              </to>
            </anchor>
          </controlPr>
        </control>
      </mc:Choice>
      <mc:Fallback>
        <control shapeId="1050" r:id="rId34" name="CheckBox11"/>
      </mc:Fallback>
    </mc:AlternateContent>
    <mc:AlternateContent xmlns:mc="http://schemas.openxmlformats.org/markup-compatibility/2006">
      <mc:Choice Requires="x14">
        <control shapeId="1054" r:id="rId36" name="CheckBox15">
          <controlPr defaultSize="0" autoLine="0" r:id="rId37">
            <anchor moveWithCells="1">
              <from>
                <xdr:col>4</xdr:col>
                <xdr:colOff>177800</xdr:colOff>
                <xdr:row>0</xdr:row>
                <xdr:rowOff>920750</xdr:rowOff>
              </from>
              <to>
                <xdr:col>4</xdr:col>
                <xdr:colOff>1066800</xdr:colOff>
                <xdr:row>0</xdr:row>
                <xdr:rowOff>1231900</xdr:rowOff>
              </to>
            </anchor>
          </controlPr>
        </control>
      </mc:Choice>
      <mc:Fallback>
        <control shapeId="1054" r:id="rId36" name="CheckBox15"/>
      </mc:Fallback>
    </mc:AlternateContent>
    <mc:AlternateContent xmlns:mc="http://schemas.openxmlformats.org/markup-compatibility/2006">
      <mc:Choice Requires="x14">
        <control shapeId="1031" r:id="rId38" name="Button 7">
          <controlPr defaultSize="0" print="0" autoFill="0" autoPict="0" macro="[0]!Planilha1.LimparCheckBoxes">
            <anchor moveWithCells="1" sizeWithCells="1">
              <from>
                <xdr:col>1</xdr:col>
                <xdr:colOff>25400</xdr:colOff>
                <xdr:row>0</xdr:row>
                <xdr:rowOff>596900</xdr:rowOff>
              </from>
              <to>
                <xdr:col>1</xdr:col>
                <xdr:colOff>1060450</xdr:colOff>
                <xdr:row>0</xdr:row>
                <xdr:rowOff>1130300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39" name="Button 21">
          <controlPr defaultSize="0" print="0" autoFill="0" autoPict="0" macro="[0]!Planilha1.GerarListaPDF">
            <anchor moveWithCells="1" sizeWithCells="1">
              <from>
                <xdr:col>7</xdr:col>
                <xdr:colOff>0</xdr:colOff>
                <xdr:row>0</xdr:row>
                <xdr:rowOff>1212850</xdr:rowOff>
              </from>
              <to>
                <xdr:col>9</xdr:col>
                <xdr:colOff>6350</xdr:colOff>
                <xdr:row>0</xdr:row>
                <xdr:rowOff>1758950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40" name="Button 32">
          <controlPr defaultSize="0" print="0" autoFill="0" autoPict="0" macro="[0]!Planilha1.GerarListaPDFPrecos">
            <anchor moveWithCells="1" sizeWithCells="1">
              <from>
                <xdr:col>13</xdr:col>
                <xdr:colOff>679450</xdr:colOff>
                <xdr:row>0</xdr:row>
                <xdr:rowOff>1041400</xdr:rowOff>
              </from>
              <to>
                <xdr:col>13</xdr:col>
                <xdr:colOff>1936750</xdr:colOff>
                <xdr:row>0</xdr:row>
                <xdr:rowOff>1473200</xdr:rowOff>
              </to>
            </anchor>
          </controlPr>
        </control>
      </mc:Choice>
    </mc:AlternateContent>
  </controls>
  <tableParts count="15"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Rhuสn Lopes</dc:creator>
  <cp:lastModifiedBy>Rhuสn Lopes</cp:lastModifiedBy>
  <cp:lastPrinted>2025-06-07T18:32:51Z</cp:lastPrinted>
  <dcterms:created xsi:type="dcterms:W3CDTF">2015-06-05T18:19:34Z</dcterms:created>
  <dcterms:modified xsi:type="dcterms:W3CDTF">2025-06-07T20:52:35Z</dcterms:modified>
</cp:coreProperties>
</file>